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timesheet-automation\01-original\"/>
    </mc:Choice>
  </mc:AlternateContent>
  <xr:revisionPtr revIDLastSave="0" documentId="13_ncr:1_{E6DDCB5C-04C7-4391-93E7-613BC77ECDE2}" xr6:coauthVersionLast="47" xr6:coauthVersionMax="47" xr10:uidLastSave="{00000000-0000-0000-0000-000000000000}"/>
  <bookViews>
    <workbookView xWindow="28680" yWindow="-120" windowWidth="29040" windowHeight="15720" tabRatio="844" firstSheet="1" activeTab="9" xr2:uid="{00000000-000D-0000-FFFF-FFFF00000000}"/>
  </bookViews>
  <sheets>
    <sheet name="publich holiday" sheetId="10" state="hidden" r:id="rId1"/>
    <sheet name="How to print" sheetId="22" r:id="rId2"/>
    <sheet name="January" sheetId="7" state="hidden" r:id="rId3"/>
    <sheet name="June" sheetId="15" r:id="rId4"/>
    <sheet name="July" sheetId="16" r:id="rId5"/>
    <sheet name="August" sheetId="17" r:id="rId6"/>
    <sheet name="September" sheetId="18" r:id="rId7"/>
    <sheet name="October" sheetId="19" r:id="rId8"/>
    <sheet name="November" sheetId="20" r:id="rId9"/>
    <sheet name="December" sheetId="21" r:id="rId10"/>
  </sheets>
  <definedNames>
    <definedName name="_xlnm.Print_Area" localSheetId="5">August!$A$1:$G$46</definedName>
    <definedName name="_xlnm.Print_Area" localSheetId="9">December!$A$1:$G$46</definedName>
    <definedName name="_xlnm.Print_Area" localSheetId="2">January!$A$1:$G$46</definedName>
    <definedName name="_xlnm.Print_Area" localSheetId="4">July!$A$1:$G$46</definedName>
    <definedName name="_xlnm.Print_Area" localSheetId="3">June!$A$1:$G$46</definedName>
    <definedName name="_xlnm.Print_Area" localSheetId="8">November!$A$1:$G$46</definedName>
    <definedName name="_xlnm.Print_Area" localSheetId="7">October!$A$1:$G$46</definedName>
    <definedName name="_xlnm.Print_Area" localSheetId="6">September!$A$1:$G$46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21" l="1"/>
  <c r="G45" i="21"/>
  <c r="D45" i="21"/>
  <c r="A45" i="21"/>
  <c r="E41" i="21"/>
  <c r="C41" i="21"/>
  <c r="E40" i="21"/>
  <c r="C40" i="21"/>
  <c r="A46" i="20"/>
  <c r="G45" i="20"/>
  <c r="D45" i="20"/>
  <c r="A45" i="20"/>
  <c r="E40" i="20"/>
  <c r="C40" i="20"/>
  <c r="E39" i="20"/>
  <c r="C39" i="20"/>
  <c r="A46" i="19"/>
  <c r="G45" i="19"/>
  <c r="D45" i="19"/>
  <c r="A45" i="19"/>
  <c r="E41" i="19"/>
  <c r="C41" i="19"/>
  <c r="E40" i="19"/>
  <c r="C40" i="19"/>
  <c r="A46" i="18"/>
  <c r="G45" i="18"/>
  <c r="D45" i="18"/>
  <c r="A45" i="18"/>
  <c r="E40" i="18"/>
  <c r="C40" i="18"/>
  <c r="E39" i="18"/>
  <c r="C39" i="18"/>
  <c r="A46" i="17"/>
  <c r="G45" i="17"/>
  <c r="D45" i="17"/>
  <c r="A45" i="17"/>
  <c r="E41" i="17"/>
  <c r="C41" i="17"/>
  <c r="E40" i="17"/>
  <c r="C40" i="17"/>
  <c r="A46" i="16"/>
  <c r="G45" i="16"/>
  <c r="D45" i="16"/>
  <c r="A45" i="16"/>
  <c r="E41" i="16"/>
  <c r="C41" i="16"/>
  <c r="E40" i="16"/>
  <c r="C40" i="16"/>
  <c r="A46" i="15"/>
  <c r="G45" i="15"/>
  <c r="D45" i="15"/>
  <c r="A45" i="15"/>
  <c r="E40" i="15"/>
  <c r="C40" i="15"/>
  <c r="E39" i="15"/>
  <c r="C39" i="15"/>
  <c r="E41" i="7"/>
  <c r="C41" i="7"/>
  <c r="E40" i="7"/>
  <c r="C40" i="7"/>
  <c r="A46" i="7"/>
  <c r="G45" i="7"/>
  <c r="D45" i="7"/>
  <c r="A45" i="7"/>
  <c r="A1" i="21"/>
  <c r="A1" i="20"/>
  <c r="A1" i="19"/>
  <c r="A1" i="18"/>
  <c r="A1" i="17"/>
  <c r="A1" i="16"/>
  <c r="A1" i="15"/>
  <c r="C39" i="7" l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D3" i="7" s="1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D3" i="15" s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D3" i="16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D3" i="17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D3" i="18" s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D3" i="19" s="1"/>
  <c r="A9" i="20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D3" i="20" s="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D3" i="21" s="1"/>
  <c r="D39" i="7"/>
  <c r="E5" i="21"/>
  <c r="B5" i="21"/>
  <c r="A2" i="21"/>
  <c r="E5" i="20"/>
  <c r="B5" i="20"/>
  <c r="A2" i="20"/>
  <c r="E5" i="19"/>
  <c r="B5" i="19"/>
  <c r="A2" i="19"/>
  <c r="E5" i="18"/>
  <c r="B5" i="18"/>
  <c r="A2" i="18"/>
  <c r="E5" i="17"/>
  <c r="B5" i="17"/>
  <c r="A2" i="17"/>
  <c r="E5" i="16"/>
  <c r="B5" i="16"/>
  <c r="A2" i="16"/>
  <c r="A2" i="15"/>
  <c r="E5" i="15"/>
  <c r="B5" i="15"/>
</calcChain>
</file>

<file path=xl/sharedStrings.xml><?xml version="1.0" encoding="utf-8"?>
<sst xmlns="http://schemas.openxmlformats.org/spreadsheetml/2006/main" count="336" uniqueCount="87">
  <si>
    <t>ลงชื่อ................................................</t>
  </si>
  <si>
    <t>ลงชื่อ ...............................................</t>
  </si>
  <si>
    <t>รวมทั้งสิ้น</t>
  </si>
  <si>
    <t>รายละเอียดของงานที่ทำ</t>
  </si>
  <si>
    <t>วันที่</t>
  </si>
  <si>
    <t>ชื่อ - นามสกุล</t>
  </si>
  <si>
    <t>ประจำวันที่</t>
  </si>
  <si>
    <t xml:space="preserve">โครงการ  </t>
  </si>
  <si>
    <t>Project Manager</t>
  </si>
  <si>
    <t>วันเสาร์</t>
  </si>
  <si>
    <t>วันอาทิตย์</t>
  </si>
  <si>
    <t>เมื่อทำงานครบเดือนแล้ว ให้ทำการ พิมพ์ Timesheet ในเดือนนั้นๆ เพื่อให้ Project Manager เซ็นอนุมัติ จากนั้นจึงค่อยส่งไปที่บัญชีเพื่อตรวจสอบความถูกต้อง</t>
  </si>
  <si>
    <t>1) เลือก File</t>
  </si>
  <si>
    <t xml:space="preserve">2) Save as </t>
  </si>
  <si>
    <t xml:space="preserve">   2.1) กำหนดชื่อไฟล์ ระบุเดือน</t>
  </si>
  <si>
    <t xml:space="preserve">   2.2) กำหนด file type เป็น PDF</t>
  </si>
  <si>
    <t xml:space="preserve">   2.3) กด Save</t>
  </si>
  <si>
    <t>วิธีการพิมพ์ทำได้ง่ายดังนี้</t>
  </si>
  <si>
    <t>วันหยุดนักขัตฤกษ์</t>
  </si>
  <si>
    <t>รหัสงาน</t>
  </si>
  <si>
    <t>การปฎิบัติงาน</t>
  </si>
  <si>
    <t>ประเภทงาน</t>
  </si>
  <si>
    <t>วันเข้าปฎิบัตงาน</t>
  </si>
  <si>
    <t>วันไม่เข้าปฎิบัตงาน</t>
  </si>
  <si>
    <t>วันหยุด</t>
  </si>
  <si>
    <t>อื่นๆ</t>
  </si>
  <si>
    <t>รายงานการปฏิบัติงาน</t>
  </si>
  <si>
    <t>บริษัท ไอที ดี จำกัด</t>
  </si>
  <si>
    <t xml:space="preserve">บุรพล อัศววิรุฬห์ฤทธิ์ </t>
  </si>
  <si>
    <t>Fast Track</t>
  </si>
  <si>
    <t>เข้าปฎิบัติงาน</t>
  </si>
  <si>
    <t>FTRV032</t>
  </si>
  <si>
    <t>Analysis: เริ่มศึกษาโครงการ Fast Track Revamp 2024 Backend, review scope migration .NET 4.x -&gt; .NET 8 และโครงสร้าง solution/API/service/repository</t>
  </si>
  <si>
    <t>เริ่มศึกษาโครงการ Fast Track Revamp 2024 Backend, review scope migration .NET 4.x -&gt; .NET 8 และโครงสร้าง solution/API/service/repository</t>
  </si>
  <si>
    <t>Analysis: วิเคราะห์ flow AppSnapshot Submission เดิม, ตรวจ controller/service/repository และจุดเชื่อมต่อ legacy mapping</t>
  </si>
  <si>
    <t>วิเคราะห์ flow AppSnapshot Submission เดิม, ตรวจ controller/service/repository และจุดเชื่อมต่อ legacy mapping</t>
  </si>
  <si>
    <t>Analysis: ตรวจ reducer.js, SuperConverter และ legacy flat key contract เพื่อหา root cause ของ mapping mismatch</t>
  </si>
  <si>
    <t>ตรวจ reducer.js, SuperConverter และ legacy flat key contract เพื่อหา root cause ของ mapping mismatch</t>
  </si>
  <si>
    <t>Development: ทำ golden mapper comparison และเพิ่ม test coverage สำหรับ reducer/mapper เพื่อพิสูจน์ expected legacy contract</t>
  </si>
  <si>
    <t>ทำ golden mapper comparison และเพิ่ม test coverage สำหรับ reducer/mapper เพื่อพิสูจน์ expected legacy contract</t>
  </si>
  <si>
    <t>Development: ปรับ dedicated Submission DTO/transformer/normalizer และ validate output ให้เข้ากับ SuperConverter/legacy payload</t>
  </si>
  <si>
    <t>ปรับ dedicated Submission DTO/transformer/normalizer และ validate output ให้เข้ากับ SuperConverter/legacy payload</t>
  </si>
  <si>
    <t>Analysis: ตรวจ DB contract ของ AppInfoRevamp และ field lineage เบื้องต้น legacy ↔ revamp พร้อมบันทึก gap</t>
  </si>
  <si>
    <t>ตรวจ DB contract ของ AppInfoRevamp และ field lineage เบื้องต้น legacy ↔ revamp พร้อมบันทึก gap</t>
  </si>
  <si>
    <t>Testing: รัน build/test บน macOS, ตรวจ SDK/global.json และจัดทำ evidence/roadmap status สำหรับ runtime readiness</t>
  </si>
  <si>
    <t>รัน build/test บน macOS, ตรวจ SDK/global.json และจัดทำ evidence/roadmap status สำหรับ runtime readiness</t>
  </si>
  <si>
    <t>Documentation: จัดทำ/อัปเดต FTR knowledge base, roadmap dashboard และ guardrail Runtime OFF / Activation NO-GO</t>
  </si>
  <si>
    <t>จัดทำ/อัปเดต FTR knowledge base, roadmap dashboard และ guardrail Runtime OFF / Activation NO-GO</t>
  </si>
  <si>
    <t>Development: พัฒนาและตรวจ Step 3 AgentInfo enrichment path: agent lookup, license eligibility, OJT lookup และ unit consistency</t>
  </si>
  <si>
    <t>พัฒนาและตรวจ Step 3 AgentInfo enrichment path: agent lookup, license eligibility, OJT lookup และ unit consistency</t>
  </si>
  <si>
    <t>Testing: ทำ Windows runtime verification/negative cases สำหรับ Step 3 และบันทึก evidence โดยไม่เปิด gateway/external runtime</t>
  </si>
  <si>
    <t>ทำ Windows runtime verification/negative cases สำหรับ Step 3 และบันทึก evidence โดยไม่เปิด gateway/external runtime</t>
  </si>
  <si>
    <t>Analysis: วิเคราะห์ Step 10/11 UAT boundary, process-history gate, gateway/queue/WCF dependency และ owner pending items</t>
  </si>
  <si>
    <t>วิเคราะห์ Step 10/11 UAT boundary, process-history gate, gateway/queue/WCF dependency และ owner pending items</t>
  </si>
  <si>
    <t>Documentation: ปรับ roadmap/AI-Brain และ owner escalation docs สำหรับ legacy-first UAT, runtime OFF และ activation NO-GO</t>
  </si>
  <si>
    <t>ปรับ roadmap/AI-Brain และ owner escalation docs สำหรับ legacy-first UAT, runtime OFF และ activation NO-GO</t>
  </si>
  <si>
    <t>Documentation: สรุป/ปรับ dashboard focus cards และ owner alignment สำหรับ Step 10-12 พร้อมบันทึกสถานะ runtime OFF / activation NO-GO</t>
  </si>
  <si>
    <t>สรุป/ปรับ dashboard focus cards และ owner alignment สำหรับ Step 10-12 พร้อมบันทึกสถานะ runtime OFF / activation NO-GO</t>
  </si>
  <si>
    <t>Analysis: สรุป owner decision OLAE Phase B2: target OLAE_RV_2024, legacy OLAE เป็น reference only และกำหนด SP adapter path</t>
  </si>
  <si>
    <t>สรุป owner decision OLAE Phase B2: target OLAE_RV_2024, legacy OLAE เป็น reference only และกำหนด SP adapter path</t>
  </si>
  <si>
    <t>Development: พัฒนา OLAE SP handoff adapter boundary, no-DB evidence builders และ legacy parity matrix สำหรับ application/payment spine</t>
  </si>
  <si>
    <t>พัฒนา OLAE SP handoff adapter boundary, no-DB evidence builders และ legacy parity matrix สำหรับ application/payment spine</t>
  </si>
  <si>
    <t>Testing: ทำ OLAE proof tooling: Windows NoDb smoke, read-only preflight, C# write-proof harness และ UI runner guard</t>
  </si>
  <si>
    <t>ทำ OLAE proof tooling: Windows NoDb smoke, read-only preflight, C# write-proof harness และ UI runner guard</t>
  </si>
  <si>
    <t>Testing: ทำ Level 2 rollback structural proof, table verification และเตรียม Level 3 committed UAT proof gate</t>
  </si>
  <si>
    <t>ทำ Level 2 rollback structural proof, table verification และเตรียม Level 3 committed UAT proof gate</t>
  </si>
  <si>
    <t>Proof: รัน Level 3 committed UAT structural proof 1 record ใน OLAE_RV_2024: REF_NO FTRV032-144158, readback 4/4 PASS; ไม่เปิด runtime/external send</t>
  </si>
  <si>
    <t>รัน Level 3 committed UAT structural proof 1 record ใน OLAE_RV_2024: REF_NO FTRV032-144158, readback 4/4 PASS; ไม่เปิด runtime/external send</t>
  </si>
  <si>
    <t>Analysis/Documentation: ปรับ OLAE/AS400 SP Chain Review UI ให้สอดคล้องหลักฐานล่าสุด: dependency closure, CLIENT deferred และ non-renewal OL/TA readiness</t>
  </si>
  <si>
    <t>ปรับ OLAE/AS400 SP Chain Review UI ให้สอดคล้องหลักฐานล่าสุด: dependency closure, CLIENT deferred renewal-only gap, non-renewal OL/TA READY_FOR_OWNER_REVIEW และ guardrail Runtime OFF / Activation NO-GO</t>
  </si>
  <si>
    <t>Planning/Development: วางแผน C# Revamp -&gt; OLAE non-renewal OL/TA และออกแบบ FTR Evidence Flow Explorer สำหรับ visualize SP flow/evidence/risk แบบ local-first</t>
  </si>
  <si>
    <t>วางแผนงาน C# Revamp -&gt; OLAE non-renewal OL/TA แบบ runtime gated พร้อมออกแบบ FTR Evidence Flow Explorer สำหรับแสดง SP chain, dependency, table impact, evidence status และ risk classification</t>
  </si>
  <si>
    <t xml:space="preserve">                                                                 Review by</t>
  </si>
  <si>
    <t>Approve by</t>
  </si>
  <si>
    <t xml:space="preserve">
             ลงชื่อ ...............................................</t>
  </si>
  <si>
    <t>Manager - Fasttrack Development</t>
  </si>
  <si>
    <t>30/06/2026</t>
  </si>
  <si>
    <t>31/01/2026</t>
  </si>
  <si>
    <t>31/07/2026</t>
  </si>
  <si>
    <t>31/08/2026</t>
  </si>
  <si>
    <t>30/09/2026</t>
  </si>
  <si>
    <t>31/10/2026</t>
  </si>
  <si>
    <t>30/11/2026</t>
  </si>
  <si>
    <t>31/12/2026</t>
  </si>
  <si>
    <t>คุณอัจฉรา ชัยภูมิ</t>
  </si>
  <si>
    <t>คุณสายฝน นามกูล</t>
  </si>
  <si>
    <t>Programmer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</si>
</sst>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41E]d\ mmm\ yy;@"/>
    <numFmt numFmtId="188" formatCode="[$-107041E]d\ mmmm\ yyyy;@"/>
  </numFmts>
  <fonts count="16" x14ac:knownFonts="1">
    <font>
      <sz val="16"/>
      <color theme="1"/>
      <name val="Angsana New"/>
      <family val="2"/>
      <charset val="222"/>
    </font>
    <font>
      <sz val="10"/>
      <name val="Arial"/>
      <family val="2"/>
    </font>
    <font>
      <sz val="10"/>
      <name val="Tahoma"/>
      <family val="2"/>
    </font>
    <font>
      <b/>
      <sz val="14"/>
      <name val="Cordia New"/>
      <family val="2"/>
    </font>
    <font>
      <sz val="14"/>
      <name val="Cordia New"/>
      <family val="2"/>
    </font>
    <font>
      <sz val="14"/>
      <color theme="1"/>
      <name val="Cordia New"/>
      <family val="2"/>
    </font>
    <font>
      <b/>
      <sz val="16"/>
      <name val="Cordia New"/>
      <family val="2"/>
    </font>
    <font>
      <sz val="18"/>
      <color theme="1"/>
      <name val="CordiaUPC"/>
      <family val="2"/>
    </font>
    <font>
      <b/>
      <u/>
      <sz val="18"/>
      <color theme="1"/>
      <name val="CordiaUPC"/>
      <family val="2"/>
    </font>
    <font>
      <b/>
      <sz val="16"/>
      <color theme="1"/>
      <name val="Angsana New"/>
      <family val="2"/>
      <charset val="222"/>
    </font>
    <font>
      <b/>
      <sz val="20"/>
      <name val="Cordia New"/>
      <family val="2"/>
    </font>
    <font>
      <b/>
      <sz val="22"/>
      <name val="Cordia New"/>
      <family val="2"/>
    </font>
    <font>
      <b/>
      <sz val="14"/>
      <color theme="1"/>
      <name val="Angsana New"/>
      <family val="1"/>
    </font>
    <font>
      <b/>
      <sz val="14"/>
      <name val="Tahoma"/>
      <family val="2"/>
    </font>
    <font>
      <sz val="14"/>
      <name val="Angsana New"/>
      <family val="1"/>
    </font>
    <font>
      <b/>
      <sz val="14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5" fillId="0" borderId="0" xfId="0" applyFont="1"/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0" fontId="3" fillId="0" borderId="0" xfId="1" applyFont="1" applyAlignment="1">
      <alignment horizontal="right" vertical="top"/>
    </xf>
    <xf numFmtId="0" fontId="4" fillId="0" borderId="0" xfId="1" applyFont="1" applyAlignment="1">
      <alignment vertical="top" wrapText="1"/>
    </xf>
    <xf numFmtId="49" fontId="4" fillId="0" borderId="4" xfId="1" applyNumberFormat="1" applyFont="1" applyBorder="1" applyAlignment="1">
      <alignment horizontal="center" vertical="center" wrapText="1"/>
    </xf>
    <xf numFmtId="2" fontId="4" fillId="0" borderId="4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187" fontId="4" fillId="0" borderId="5" xfId="1" applyNumberFormat="1" applyFont="1" applyBorder="1" applyAlignment="1">
      <alignment horizontal="center" vertical="center" wrapText="1"/>
    </xf>
    <xf numFmtId="187" fontId="4" fillId="0" borderId="4" xfId="1" applyNumberFormat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14" fontId="4" fillId="0" borderId="0" xfId="1" applyNumberFormat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14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9" fillId="0" borderId="0" xfId="0" applyFont="1"/>
    <xf numFmtId="0" fontId="4" fillId="0" borderId="5" xfId="1" applyFont="1" applyBorder="1" applyAlignment="1">
      <alignment horizontal="center" vertical="center" wrapText="1"/>
    </xf>
    <xf numFmtId="187" fontId="4" fillId="0" borderId="5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187" fontId="4" fillId="3" borderId="5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88" fontId="3" fillId="0" borderId="0" xfId="1" applyNumberFormat="1" applyFont="1" applyAlignment="1">
      <alignment vertical="center"/>
    </xf>
    <xf numFmtId="2" fontId="4" fillId="3" borderId="4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3" fillId="0" borderId="0" xfId="1" applyFont="1" applyAlignment="1">
      <alignment horizontal="center" vertical="top"/>
    </xf>
    <xf numFmtId="0" fontId="12" fillId="0" borderId="0" xfId="0" applyFont="1" applyAlignment="1">
      <alignment horizontal="center"/>
    </xf>
    <xf numFmtId="0" fontId="13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10" fillId="0" borderId="0" xfId="1" applyFont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11" fillId="0" borderId="0" xfId="1" applyFont="1" applyAlignment="1">
      <alignment horizontal="center" vertical="center"/>
    </xf>
    <xf numFmtId="14" fontId="14" fillId="0" borderId="0" xfId="1" applyNumberFormat="1" applyFont="1" applyAlignment="1">
      <alignment horizontal="left" vertical="center" wrapText="1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top" wrapText="1"/>
    </xf>
    <xf numFmtId="0" fontId="14" fillId="0" borderId="0" xfId="1" applyFont="1" applyAlignment="1">
      <alignment horizontal="center" vertical="top" wrapText="1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 vertical="top"/>
    </xf>
    <xf numFmtId="0" fontId="15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88" fontId="3" fillId="0" borderId="0" xfId="1" applyNumberFormat="1" applyFont="1" applyFill="1" applyAlignment="1">
      <alignment vertical="center"/>
    </xf>
    <xf numFmtId="0" fontId="4" fillId="0" borderId="0" xfId="1" applyFont="1" applyFill="1" applyAlignment="1">
      <alignment horizontal="left" vertical="center"/>
    </xf>
  </cellXfs>
  <cellStyles count="3">
    <cellStyle name="Normal" xfId="0" builtinId="0"/>
    <cellStyle name="Normal 2" xfId="2" xr:uid="{454A9F07-60F3-4E5C-9937-CE8739C71C87}"/>
    <cellStyle name="Normal_Sheet1" xfId="1" xr:uid="{00000000-0005-0000-0000-000001000000}"/>
  </cellStyles>
  <dxfs count="0"/>
  <tableStyles count="0" defaultTableStyle="TableStyleMedium2" defaultPivotStyle="PivotStyleLight16"/>
  <colors>
    <mruColors>
      <color rgb="FFFFFFCC"/>
      <color rgb="FFE2EFDA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658858</xdr:colOff>
      <xdr:row>1</xdr:row>
      <xdr:rowOff>263070</xdr:rowOff>
    </xdr:from>
    <xdr:to>
      <xdr:col>6</xdr:col>
      <xdr:colOff>2339710</xdr:colOff>
      <xdr:row>5</xdr:row>
      <xdr:rowOff>41325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218D9B6-E2A3-41CD-9400-6654B6C5A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1808" y="625020"/>
          <a:ext cx="1684662" cy="987930"/>
        </a:xfrm>
        <a:prstGeom prst="rect">
          <a:avLst/>
        </a:prstGeom>
      </xdr:spPr>
    </xdr:pic>
    <xdr:clientData/>
  </xdr:twoCellAnchor>
  <xdr:twoCellAnchor>
    <xdr:from>
      <xdr:col>0</xdr:col>
      <xdr:colOff>511811</xdr:colOff>
      <xdr:row>41</xdr:row>
      <xdr:rowOff>154671</xdr:rowOff>
    </xdr:from>
    <xdr:to>
      <xdr:col>1</xdr:col>
      <xdr:colOff>1205541</xdr:colOff>
      <xdr:row>43</xdr:row>
      <xdr:rowOff>249281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21469F-DE33-473A-A79F-1D672E86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811" y="17099646"/>
          <a:ext cx="1570030" cy="685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653143</xdr:colOff>
      <xdr:row>1</xdr:row>
      <xdr:rowOff>263070</xdr:rowOff>
    </xdr:from>
    <xdr:to>
      <xdr:col>6</xdr:col>
      <xdr:colOff>2345425</xdr:colOff>
      <xdr:row>5</xdr:row>
      <xdr:rowOff>41325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AD871-3F2D-4A66-8410-ED975D964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3857" y="634999"/>
          <a:ext cx="1911448" cy="975683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508001</xdr:colOff>
      <xdr:row>41</xdr:row>
      <xdr:rowOff>154671</xdr:rowOff>
    </xdr:from>
    <xdr:to>
      <xdr:col>1</xdr:col>
      <xdr:colOff>1215572</xdr:colOff>
      <xdr:row>43</xdr:row>
      <xdr:rowOff>249281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C4A94-E37F-35B9-86DE-4DEBADD83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1" y="17462957"/>
          <a:ext cx="1524000" cy="6962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2344882</xdr:colOff>
      <xdr:row>5</xdr:row>
      <xdr:rowOff>57926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091DFDD-FCD7-4E51-9B1B-3F215233E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88472" cy="1002898"/>
        </a:xfrm>
        <a:prstGeom prst="rect">
          <a:avLst/>
        </a:prstGeom>
      </xdr:spPr>
    </xdr:pic>
    <xdr:clientData/>
  </xdr:twoCellAnchor>
  <xdr:twoCellAnchor>
    <xdr:from>
      <xdr:col>0</xdr:col>
      <xdr:colOff>702310</xdr:colOff>
      <xdr:row>42</xdr:row>
      <xdr:rowOff>88773</xdr:rowOff>
    </xdr:from>
    <xdr:to>
      <xdr:col>2</xdr:col>
      <xdr:colOff>22098</xdr:colOff>
      <xdr:row>44</xdr:row>
      <xdr:rowOff>20701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ED3C929-501B-421F-8EC2-62AB050D3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10" y="17252823"/>
          <a:ext cx="1567688" cy="7034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2344882</xdr:colOff>
      <xdr:row>5</xdr:row>
      <xdr:rowOff>57926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486E1AF-2D0D-41DD-BB6B-753A1355D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88472" cy="1002898"/>
        </a:xfrm>
        <a:prstGeom prst="rect">
          <a:avLst/>
        </a:prstGeom>
      </xdr:spPr>
    </xdr:pic>
    <xdr:clientData/>
  </xdr:twoCellAnchor>
  <xdr:twoCellAnchor>
    <xdr:from>
      <xdr:col>0</xdr:col>
      <xdr:colOff>702310</xdr:colOff>
      <xdr:row>42</xdr:row>
      <xdr:rowOff>88773</xdr:rowOff>
    </xdr:from>
    <xdr:to>
      <xdr:col>2</xdr:col>
      <xdr:colOff>22098</xdr:colOff>
      <xdr:row>44</xdr:row>
      <xdr:rowOff>20701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682048D-A7AD-4917-8573-F985574CC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10" y="17252823"/>
          <a:ext cx="1567688" cy="7034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2344882</xdr:colOff>
      <xdr:row>5</xdr:row>
      <xdr:rowOff>57926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49C9D14-891D-4BCE-91EB-1499CFFA5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88472" cy="1002898"/>
        </a:xfrm>
        <a:prstGeom prst="rect">
          <a:avLst/>
        </a:prstGeom>
      </xdr:spPr>
    </xdr:pic>
    <xdr:clientData/>
  </xdr:twoCellAnchor>
  <xdr:twoCellAnchor>
    <xdr:from>
      <xdr:col>0</xdr:col>
      <xdr:colOff>702310</xdr:colOff>
      <xdr:row>42</xdr:row>
      <xdr:rowOff>88773</xdr:rowOff>
    </xdr:from>
    <xdr:to>
      <xdr:col>2</xdr:col>
      <xdr:colOff>22098</xdr:colOff>
      <xdr:row>44</xdr:row>
      <xdr:rowOff>20701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70A38AC-4E38-4F79-992A-B39DDFEF63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10" y="17252823"/>
          <a:ext cx="1567688" cy="7034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2344882</xdr:colOff>
      <xdr:row>5</xdr:row>
      <xdr:rowOff>57926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908A6E-48D5-4F21-ACEE-16A51E228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88472" cy="1002898"/>
        </a:xfrm>
        <a:prstGeom prst="rect">
          <a:avLst/>
        </a:prstGeom>
      </xdr:spPr>
    </xdr:pic>
    <xdr:clientData/>
  </xdr:twoCellAnchor>
  <xdr:twoCellAnchor>
    <xdr:from>
      <xdr:col>0</xdr:col>
      <xdr:colOff>702310</xdr:colOff>
      <xdr:row>42</xdr:row>
      <xdr:rowOff>88773</xdr:rowOff>
    </xdr:from>
    <xdr:to>
      <xdr:col>2</xdr:col>
      <xdr:colOff>22098</xdr:colOff>
      <xdr:row>44</xdr:row>
      <xdr:rowOff>20701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D633921-A47F-4A42-9398-461BCCD15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10" y="17252823"/>
          <a:ext cx="1567688" cy="7034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2344882</xdr:colOff>
      <xdr:row>5</xdr:row>
      <xdr:rowOff>57926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36047E9-03F2-48F2-8EB4-C5435AF06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88472" cy="1002898"/>
        </a:xfrm>
        <a:prstGeom prst="rect">
          <a:avLst/>
        </a:prstGeom>
      </xdr:spPr>
    </xdr:pic>
    <xdr:clientData/>
  </xdr:twoCellAnchor>
  <xdr:twoCellAnchor>
    <xdr:from>
      <xdr:col>0</xdr:col>
      <xdr:colOff>702310</xdr:colOff>
      <xdr:row>42</xdr:row>
      <xdr:rowOff>88773</xdr:rowOff>
    </xdr:from>
    <xdr:to>
      <xdr:col>2</xdr:col>
      <xdr:colOff>22098</xdr:colOff>
      <xdr:row>44</xdr:row>
      <xdr:rowOff>20701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4487942-17EA-48B4-969D-997A97EBC0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10" y="17252823"/>
          <a:ext cx="1567688" cy="7034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2344882</xdr:colOff>
      <xdr:row>5</xdr:row>
      <xdr:rowOff>57926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1DFBAC-576F-4FC3-8EFF-2D30BC279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88472" cy="1002898"/>
        </a:xfrm>
        <a:prstGeom prst="rect">
          <a:avLst/>
        </a:prstGeom>
      </xdr:spPr>
    </xdr:pic>
    <xdr:clientData/>
  </xdr:twoCellAnchor>
  <xdr:twoCellAnchor>
    <xdr:from>
      <xdr:col>0</xdr:col>
      <xdr:colOff>702310</xdr:colOff>
      <xdr:row>42</xdr:row>
      <xdr:rowOff>88773</xdr:rowOff>
    </xdr:from>
    <xdr:to>
      <xdr:col>2</xdr:col>
      <xdr:colOff>22098</xdr:colOff>
      <xdr:row>44</xdr:row>
      <xdr:rowOff>20701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4F8AF11-2650-4D81-AA1B-DA8BD0AA36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310" y="17252823"/>
          <a:ext cx="1567688" cy="703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2CCA-78D7-4551-8AE0-3FCFB2F92E10}">
  <dimension ref="A1"/>
  <sheetViews>
    <sheetView workbookViewId="0">
      <selection activeCell="D7" sqref="D7"/>
    </sheetView>
  </sheetViews>
  <sheetFormatPr defaultColWidth="9" defaultRowHeight="23.4" x14ac:dyDescent="0.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9451-1900-4E39-92C9-C5FD9C301BE9}">
  <dimension ref="A1:A7"/>
  <sheetViews>
    <sheetView workbookViewId="0">
      <selection activeCell="C10" sqref="C10"/>
    </sheetView>
  </sheetViews>
  <sheetFormatPr defaultColWidth="8.77734375" defaultRowHeight="27.6" x14ac:dyDescent="0.8"/>
  <cols>
    <col min="1" max="16384" width="8.77734375" style="1"/>
  </cols>
  <sheetData>
    <row r="1" spans="1:1" x14ac:dyDescent="0.8">
      <c r="A1" s="1" t="s">
        <v>11</v>
      </c>
    </row>
    <row r="2" spans="1:1" x14ac:dyDescent="0.8">
      <c r="A2" s="2" t="s">
        <v>17</v>
      </c>
    </row>
    <row r="3" spans="1:1" x14ac:dyDescent="0.8">
      <c r="A3" s="1" t="s">
        <v>12</v>
      </c>
    </row>
    <row r="4" spans="1:1" x14ac:dyDescent="0.8">
      <c r="A4" s="1" t="s">
        <v>13</v>
      </c>
    </row>
    <row r="5" spans="1:1" x14ac:dyDescent="0.8">
      <c r="A5" s="1" t="s">
        <v>14</v>
      </c>
    </row>
    <row r="6" spans="1:1" x14ac:dyDescent="0.8">
      <c r="A6" s="1" t="s">
        <v>15</v>
      </c>
    </row>
    <row r="7" spans="1:1" x14ac:dyDescent="0.8">
      <c r="A7" s="1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05C2-2851-4398-BA72-37C918D65E99}">
  <sheetPr>
    <pageSetUpPr fitToPage="1"/>
  </sheetPr>
  <dimension ref="A1:H52"/>
  <sheetViews>
    <sheetView topLeftCell="A34" zoomScaleNormal="100" workbookViewId="0">
      <selection activeCell="A38" sqref="A38:G38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50" t="s">
        <v>26</v>
      </c>
      <c r="B1" s="50"/>
      <c r="C1" s="50"/>
      <c r="D1" s="50"/>
      <c r="E1" s="50"/>
      <c r="F1" s="50"/>
      <c r="G1" s="50"/>
    </row>
    <row r="2" spans="1:7" ht="23.4" customHeight="1" x14ac:dyDescent="0.6">
      <c r="A2" s="51" t="s">
        <v>27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มกราคม 2569 ถึง 31 มกราคม 2569</v>
      </c>
      <c r="E3" s="40"/>
      <c r="F3" s="40"/>
      <c r="G3" s="6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">
        <v>28</v>
      </c>
      <c r="C5" s="7"/>
      <c r="D5" s="5" t="s">
        <v>7</v>
      </c>
      <c r="E5" s="52" t="s">
        <v>29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33">
        <v>46023</v>
      </c>
      <c r="B8" s="46" t="s">
        <v>18</v>
      </c>
      <c r="C8" s="41"/>
      <c r="D8" s="42"/>
      <c r="E8" s="43"/>
      <c r="F8" s="44"/>
      <c r="G8" s="45"/>
    </row>
    <row r="9" spans="1:7" ht="42" customHeight="1" x14ac:dyDescent="0.6">
      <c r="A9" s="16">
        <f>A8+1</f>
        <v>46024</v>
      </c>
      <c r="B9" s="12"/>
      <c r="C9" s="13"/>
      <c r="D9" s="14"/>
      <c r="E9" s="15"/>
      <c r="F9" s="62"/>
      <c r="G9" s="63"/>
    </row>
    <row r="10" spans="1:7" ht="23.25" customHeight="1" x14ac:dyDescent="0.6">
      <c r="A10" s="33">
        <f t="shared" ref="A10:A22" si="0">A9+1</f>
        <v>46025</v>
      </c>
      <c r="B10" s="46" t="s">
        <v>9</v>
      </c>
      <c r="C10" s="41"/>
      <c r="D10" s="42"/>
      <c r="E10" s="43"/>
      <c r="F10" s="44"/>
      <c r="G10" s="45"/>
    </row>
    <row r="11" spans="1:7" ht="23.25" customHeight="1" x14ac:dyDescent="0.6">
      <c r="A11" s="33">
        <f t="shared" si="0"/>
        <v>46026</v>
      </c>
      <c r="B11" s="46" t="s">
        <v>10</v>
      </c>
      <c r="C11" s="41"/>
      <c r="D11" s="42"/>
      <c r="E11" s="43"/>
      <c r="F11" s="44"/>
      <c r="G11" s="45"/>
    </row>
    <row r="12" spans="1:7" ht="42" customHeight="1" x14ac:dyDescent="0.6">
      <c r="A12" s="16">
        <f t="shared" si="0"/>
        <v>46027</v>
      </c>
      <c r="B12" s="12"/>
      <c r="C12" s="13"/>
      <c r="D12" s="27"/>
      <c r="E12" s="15"/>
      <c r="F12" s="62"/>
      <c r="G12" s="63"/>
    </row>
    <row r="13" spans="1:7" ht="23.25" customHeight="1" x14ac:dyDescent="0.6">
      <c r="A13" s="16">
        <f t="shared" si="0"/>
        <v>46028</v>
      </c>
      <c r="B13" s="12"/>
      <c r="C13" s="13"/>
      <c r="D13" s="27"/>
      <c r="E13" s="15"/>
      <c r="F13" s="62"/>
      <c r="G13" s="63"/>
    </row>
    <row r="14" spans="1:7" ht="23.25" customHeight="1" x14ac:dyDescent="0.6">
      <c r="A14" s="16">
        <f t="shared" si="0"/>
        <v>46029</v>
      </c>
      <c r="B14" s="12"/>
      <c r="C14" s="13"/>
      <c r="D14" s="14"/>
      <c r="E14" s="15"/>
      <c r="F14" s="62"/>
      <c r="G14" s="63"/>
    </row>
    <row r="15" spans="1:7" ht="42" customHeight="1" x14ac:dyDescent="0.6">
      <c r="A15" s="16">
        <f t="shared" si="0"/>
        <v>46030</v>
      </c>
      <c r="B15" s="12"/>
      <c r="C15" s="13"/>
      <c r="D15" s="27"/>
      <c r="E15" s="15"/>
      <c r="F15" s="62"/>
      <c r="G15" s="63"/>
    </row>
    <row r="16" spans="1:7" ht="42" customHeight="1" x14ac:dyDescent="0.6">
      <c r="A16" s="16">
        <f t="shared" si="0"/>
        <v>46031</v>
      </c>
      <c r="B16" s="12"/>
      <c r="C16" s="13"/>
      <c r="D16" s="14"/>
      <c r="E16" s="15"/>
      <c r="F16" s="62"/>
      <c r="G16" s="63"/>
    </row>
    <row r="17" spans="1:7" ht="23.25" customHeight="1" x14ac:dyDescent="0.6">
      <c r="A17" s="33">
        <f t="shared" si="0"/>
        <v>46032</v>
      </c>
      <c r="B17" s="46" t="s">
        <v>9</v>
      </c>
      <c r="C17" s="41"/>
      <c r="D17" s="42"/>
      <c r="E17" s="43"/>
      <c r="F17" s="44"/>
      <c r="G17" s="45"/>
    </row>
    <row r="18" spans="1:7" ht="23.25" customHeight="1" x14ac:dyDescent="0.6">
      <c r="A18" s="33">
        <f t="shared" si="0"/>
        <v>46033</v>
      </c>
      <c r="B18" s="46" t="s">
        <v>10</v>
      </c>
      <c r="C18" s="41"/>
      <c r="D18" s="42"/>
      <c r="E18" s="43"/>
      <c r="F18" s="44"/>
      <c r="G18" s="45"/>
    </row>
    <row r="19" spans="1:7" ht="42" customHeight="1" x14ac:dyDescent="0.6">
      <c r="A19" s="16">
        <f t="shared" si="0"/>
        <v>46034</v>
      </c>
      <c r="B19" s="12"/>
      <c r="C19" s="13"/>
      <c r="D19" s="27"/>
      <c r="E19" s="15"/>
      <c r="F19" s="62"/>
      <c r="G19" s="63"/>
    </row>
    <row r="20" spans="1:7" ht="23.25" customHeight="1" x14ac:dyDescent="0.6">
      <c r="A20" s="16">
        <f t="shared" si="0"/>
        <v>46035</v>
      </c>
      <c r="B20" s="12"/>
      <c r="C20" s="13"/>
      <c r="D20" s="27"/>
      <c r="E20" s="15"/>
      <c r="F20" s="62"/>
      <c r="G20" s="63"/>
    </row>
    <row r="21" spans="1:7" ht="23.25" customHeight="1" x14ac:dyDescent="0.6">
      <c r="A21" s="16">
        <f t="shared" si="0"/>
        <v>46036</v>
      </c>
      <c r="B21" s="12"/>
      <c r="C21" s="13"/>
      <c r="D21" s="14"/>
      <c r="E21" s="15"/>
      <c r="F21" s="62"/>
      <c r="G21" s="63"/>
    </row>
    <row r="22" spans="1:7" ht="42" customHeight="1" x14ac:dyDescent="0.6">
      <c r="A22" s="16">
        <f t="shared" si="0"/>
        <v>46037</v>
      </c>
      <c r="B22" s="12"/>
      <c r="C22" s="13"/>
      <c r="D22" s="14"/>
      <c r="E22" s="15"/>
      <c r="F22" s="62"/>
      <c r="G22" s="63"/>
    </row>
    <row r="23" spans="1:7" ht="42" customHeight="1" x14ac:dyDescent="0.6">
      <c r="A23" s="16">
        <f>A22+1</f>
        <v>46038</v>
      </c>
      <c r="B23" s="12"/>
      <c r="C23" s="13"/>
      <c r="D23" s="27"/>
      <c r="E23" s="15"/>
      <c r="F23" s="62"/>
      <c r="G23" s="63"/>
    </row>
    <row r="24" spans="1:7" ht="23.25" customHeight="1" x14ac:dyDescent="0.6">
      <c r="A24" s="33">
        <f t="shared" ref="A24:A36" si="1">A23+1</f>
        <v>46039</v>
      </c>
      <c r="B24" s="46" t="s">
        <v>9</v>
      </c>
      <c r="C24" s="41"/>
      <c r="D24" s="42"/>
      <c r="E24" s="43"/>
      <c r="F24" s="44"/>
      <c r="G24" s="45"/>
    </row>
    <row r="25" spans="1:7" ht="23.25" customHeight="1" x14ac:dyDescent="0.6">
      <c r="A25" s="33">
        <f t="shared" si="1"/>
        <v>46040</v>
      </c>
      <c r="B25" s="46" t="s">
        <v>10</v>
      </c>
      <c r="C25" s="41"/>
      <c r="D25" s="42"/>
      <c r="E25" s="43"/>
      <c r="F25" s="44"/>
      <c r="G25" s="45"/>
    </row>
    <row r="26" spans="1:7" ht="42" customHeight="1" x14ac:dyDescent="0.6">
      <c r="A26" s="16">
        <f t="shared" si="1"/>
        <v>46041</v>
      </c>
      <c r="B26" s="12"/>
      <c r="C26" s="13"/>
      <c r="D26" s="27"/>
      <c r="E26" s="15"/>
      <c r="F26" s="62"/>
      <c r="G26" s="63"/>
    </row>
    <row r="27" spans="1:7" ht="23.25" customHeight="1" x14ac:dyDescent="0.6">
      <c r="A27" s="16">
        <f t="shared" si="1"/>
        <v>46042</v>
      </c>
      <c r="B27" s="12"/>
      <c r="C27" s="13"/>
      <c r="D27" s="27"/>
      <c r="E27" s="15"/>
      <c r="F27" s="62"/>
      <c r="G27" s="63"/>
    </row>
    <row r="28" spans="1:7" ht="23.25" customHeight="1" x14ac:dyDescent="0.6">
      <c r="A28" s="16">
        <f t="shared" si="1"/>
        <v>46043</v>
      </c>
      <c r="B28" s="12"/>
      <c r="C28" s="13"/>
      <c r="D28" s="14"/>
      <c r="E28" s="15"/>
      <c r="F28" s="62"/>
      <c r="G28" s="63"/>
    </row>
    <row r="29" spans="1:7" ht="42" customHeight="1" x14ac:dyDescent="0.6">
      <c r="A29" s="16">
        <f t="shared" si="1"/>
        <v>46044</v>
      </c>
      <c r="B29" s="12"/>
      <c r="C29" s="13"/>
      <c r="D29" s="14"/>
      <c r="E29" s="15"/>
      <c r="F29" s="62"/>
      <c r="G29" s="63"/>
    </row>
    <row r="30" spans="1:7" ht="42" customHeight="1" x14ac:dyDescent="0.6">
      <c r="A30" s="16">
        <f t="shared" si="1"/>
        <v>46045</v>
      </c>
      <c r="B30" s="12"/>
      <c r="C30" s="13"/>
      <c r="D30" s="14"/>
      <c r="E30" s="15"/>
      <c r="F30" s="62"/>
      <c r="G30" s="63"/>
    </row>
    <row r="31" spans="1:7" ht="23.25" customHeight="1" x14ac:dyDescent="0.6">
      <c r="A31" s="33">
        <f t="shared" si="1"/>
        <v>46046</v>
      </c>
      <c r="B31" s="46" t="s">
        <v>9</v>
      </c>
      <c r="C31" s="41"/>
      <c r="D31" s="42"/>
      <c r="E31" s="43"/>
      <c r="F31" s="44"/>
      <c r="G31" s="45"/>
    </row>
    <row r="32" spans="1:7" ht="23.25" customHeight="1" x14ac:dyDescent="0.6">
      <c r="A32" s="33">
        <f t="shared" si="1"/>
        <v>46047</v>
      </c>
      <c r="B32" s="46" t="s">
        <v>10</v>
      </c>
      <c r="C32" s="41"/>
      <c r="D32" s="42"/>
      <c r="E32" s="43"/>
      <c r="F32" s="44"/>
      <c r="G32" s="45"/>
    </row>
    <row r="33" spans="1:8" ht="42" customHeight="1" x14ac:dyDescent="0.6">
      <c r="A33" s="16">
        <f t="shared" si="1"/>
        <v>46048</v>
      </c>
      <c r="B33" s="12"/>
      <c r="C33" s="13"/>
      <c r="D33" s="27"/>
      <c r="E33" s="15"/>
      <c r="F33" s="62"/>
      <c r="G33" s="63"/>
    </row>
    <row r="34" spans="1:8" ht="23.25" customHeight="1" x14ac:dyDescent="0.6">
      <c r="A34" s="16">
        <f t="shared" si="1"/>
        <v>46049</v>
      </c>
      <c r="B34" s="12"/>
      <c r="C34" s="13"/>
      <c r="D34" s="27"/>
      <c r="E34" s="15"/>
      <c r="F34" s="62"/>
      <c r="G34" s="63"/>
    </row>
    <row r="35" spans="1:8" ht="23.25" customHeight="1" x14ac:dyDescent="0.6">
      <c r="A35" s="16">
        <f t="shared" si="1"/>
        <v>46050</v>
      </c>
      <c r="B35" s="12"/>
      <c r="C35" s="13"/>
      <c r="D35" s="14"/>
      <c r="E35" s="15"/>
      <c r="F35" s="62"/>
      <c r="G35" s="63"/>
    </row>
    <row r="36" spans="1:8" ht="42" customHeight="1" x14ac:dyDescent="0.6">
      <c r="A36" s="16">
        <f t="shared" si="1"/>
        <v>46051</v>
      </c>
      <c r="B36" s="12"/>
      <c r="C36" s="13"/>
      <c r="D36" s="14"/>
      <c r="E36" s="15"/>
      <c r="F36" s="62"/>
      <c r="G36" s="63"/>
    </row>
    <row r="37" spans="1:8" ht="42" customHeight="1" x14ac:dyDescent="0.6">
      <c r="A37" s="17">
        <f>A36+1</f>
        <v>46052</v>
      </c>
      <c r="B37" s="12"/>
      <c r="C37" s="13"/>
      <c r="D37" s="14"/>
      <c r="E37" s="15"/>
      <c r="F37" s="47"/>
      <c r="G37" s="49"/>
    </row>
    <row r="38" spans="1:8" ht="23.25" customHeight="1" x14ac:dyDescent="0.6">
      <c r="A38" s="33">
        <f>A37+1</f>
        <v>46053</v>
      </c>
      <c r="B38" s="46" t="s">
        <v>9</v>
      </c>
      <c r="C38" s="41"/>
      <c r="D38" s="42"/>
      <c r="E38" s="43"/>
      <c r="F38" s="44"/>
      <c r="G38" s="45"/>
    </row>
    <row r="39" spans="1:8" ht="23.4" customHeight="1" x14ac:dyDescent="0.6">
      <c r="A39" s="53" t="s">
        <v>2</v>
      </c>
      <c r="B39" s="55"/>
      <c r="C39" s="18">
        <f>SUM(C8:C38)</f>
        <v>0</v>
      </c>
      <c r="D39" s="18">
        <f>SUM(D8:D38)</f>
        <v>0</v>
      </c>
      <c r="E39" s="19"/>
      <c r="F39" s="19"/>
      <c r="G39" s="19"/>
    </row>
    <row r="40" spans="1:8" ht="23.4" customHeight="1" x14ac:dyDescent="0.6">
      <c r="A40" s="20"/>
      <c r="B40" s="32" t="s">
        <v>22</v>
      </c>
      <c r="C40" s="29">
        <f>COUNTIF($B$8:$B$38, "เข้าปฎิบัติงาน")</f>
        <v>0</v>
      </c>
      <c r="D40" s="34" t="s">
        <v>24</v>
      </c>
      <c r="E40" s="29">
        <f>SUM(COUNTIF($B$8:$B$38, {"วันเสาร์","วันอาทิตย์","วันหยุดนักขัตฤกษ์"}))</f>
        <v>10</v>
      </c>
      <c r="F40" s="6"/>
      <c r="G40" s="6"/>
    </row>
    <row r="41" spans="1:8" ht="23.4" customHeight="1" x14ac:dyDescent="0.6">
      <c r="A41" s="20"/>
      <c r="B41" s="34" t="s">
        <v>23</v>
      </c>
      <c r="C41" s="29">
        <f>COUNTIF($B$8:$B$38, "ไม่เข้าปฎิบัติงาน")</f>
        <v>0</v>
      </c>
      <c r="D41" s="34" t="s">
        <v>25</v>
      </c>
      <c r="E41" s="29">
        <f>COUNTIF($B$8:$B$38, "อื่นๆ โปรดระบุรายละเอียด ")</f>
        <v>0</v>
      </c>
      <c r="F41" s="6"/>
      <c r="G41" s="6"/>
    </row>
    <row r="42" spans="1:8" ht="23.4" customHeight="1" x14ac:dyDescent="0.6">
      <c r="A42" s="20" t="s">
        <v>0</v>
      </c>
      <c r="B42" s="21"/>
      <c r="C42" s="22"/>
      <c r="D42" s="19"/>
      <c r="E42" s="19"/>
      <c r="F42" s="6" t="s">
        <v>1</v>
      </c>
      <c r="G42" s="6"/>
    </row>
    <row r="43" spans="1:8" ht="23.4" customHeight="1" x14ac:dyDescent="0.6">
      <c r="A43" s="67"/>
      <c r="B43" s="21"/>
      <c r="C43" s="22"/>
      <c r="D43" s="68" t="s">
        <v>72</v>
      </c>
      <c r="E43" s="19"/>
      <c r="F43" s="6" t="s">
        <v>85</v>
      </c>
      <c r="G43" s="69" t="s">
        <v>73</v>
      </c>
      <c r="H43" t="s">
        <v>84</v>
      </c>
    </row>
    <row r="44" spans="1:8" s="26" customFormat="1" ht="37.950000000000003" customHeight="1" x14ac:dyDescent="0.6">
      <c r="A44" s="70" t="s">
        <v>86</v>
      </c>
      <c r="B44" s="58"/>
      <c r="C44" s="58"/>
      <c r="D44" s="70" t="s">
        <v>74</v>
      </c>
      <c r="E44" s="58"/>
      <c r="F44" s="35"/>
      <c r="G44" s="71" t="s">
        <v>74</v>
      </c>
    </row>
    <row r="45" spans="1:8" ht="18" customHeight="1" x14ac:dyDescent="0.6">
      <c r="A45" s="72" t="str">
        <f>B5</f>
        <v xml:space="preserve">บุรพล อัศววิรุฬห์ฤทธิ์ </v>
      </c>
      <c r="B45" s="57"/>
      <c r="D45" s="70" t="str">
        <f>January!$F43</f>
        <v>คุณสายฝน นามกูล</v>
      </c>
      <c r="E45" s="58"/>
      <c r="F45" s="35"/>
      <c r="G45" s="69" t="str">
        <f>January!$H43</f>
        <v>คุณอัจฉรา ชัยภูมิ</v>
      </c>
    </row>
    <row r="46" spans="1:8" ht="18" customHeight="1" x14ac:dyDescent="0.6">
      <c r="A46" s="73" t="str">
        <f>January!$A$44</f>
        <v>Programmer</v>
      </c>
      <c r="B46" s="59"/>
      <c r="C46" s="26"/>
      <c r="D46" s="60" t="s">
        <v>75</v>
      </c>
      <c r="E46" s="60"/>
      <c r="F46" s="3"/>
      <c r="G46" s="74" t="s">
        <v>8</v>
      </c>
    </row>
    <row r="47" spans="1:8" ht="18" customHeight="1" x14ac:dyDescent="0.6">
      <c r="A47" s="23"/>
      <c r="B47" s="25"/>
      <c r="C47" s="25"/>
      <c r="D47" s="75" t="s">
        <v>77</v>
      </c>
      <c r="E47" s="61"/>
      <c r="F47" s="25"/>
      <c r="G47" s="24"/>
    </row>
    <row r="48" spans="1:8" ht="23.4" customHeight="1" x14ac:dyDescent="0.6">
      <c r="A48" s="24"/>
      <c r="B48" s="24"/>
      <c r="C48" s="24"/>
      <c r="D48" s="24"/>
      <c r="E48" s="24"/>
      <c r="F48" s="24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</sheetData>
  <mergeCells count="34">
    <mergeCell ref="D47:E47"/>
    <mergeCell ref="F37:G37"/>
    <mergeCell ref="F35:G35"/>
    <mergeCell ref="F36:G36"/>
    <mergeCell ref="A39:B39"/>
    <mergeCell ref="A44:C44"/>
    <mergeCell ref="A45:B45"/>
    <mergeCell ref="D45:E45"/>
    <mergeCell ref="A46:B46"/>
    <mergeCell ref="D46:E46"/>
    <mergeCell ref="D44:E44"/>
    <mergeCell ref="F9:G9"/>
    <mergeCell ref="F12:G12"/>
    <mergeCell ref="F13:G13"/>
    <mergeCell ref="F14:G14"/>
    <mergeCell ref="F15:G15"/>
    <mergeCell ref="A1:G1"/>
    <mergeCell ref="A2:G2"/>
    <mergeCell ref="A4:F4"/>
    <mergeCell ref="E5:G5"/>
    <mergeCell ref="E7:G7"/>
    <mergeCell ref="F19:G19"/>
    <mergeCell ref="F20:G20"/>
    <mergeCell ref="F16:G16"/>
    <mergeCell ref="F33:G33"/>
    <mergeCell ref="F34:G34"/>
    <mergeCell ref="F30:G30"/>
    <mergeCell ref="F21:G21"/>
    <mergeCell ref="F22:G22"/>
    <mergeCell ref="F23:G23"/>
    <mergeCell ref="F29:G29"/>
    <mergeCell ref="F27:G27"/>
    <mergeCell ref="F28:G28"/>
    <mergeCell ref="F26:G26"/>
  </mergeCells>
  <dataValidations count="2">
    <dataValidation type="list" allowBlank="1" showInputMessage="1" showErrorMessage="1" sqref="B8 B10:B11 B17:B18 B24:B25 B31:B32 B38" xr:uid="{8E689AAC-4CCD-406A-B21F-86181782FF32}">
      <formula1>"เข้าปฎิบัติงาน, วันเสาร์, วันอาทิตย์, วันหยุดนักขัตฤกษ์, ลา โปรดระบุที่ช่องรายละเอียด, อื่นๆ โปรดระบุที่ช่องรายละเอียด"</formula1>
    </dataValidation>
    <dataValidation type="list" allowBlank="1" showInputMessage="1" showErrorMessage="1" sqref="B9 B12:B16 B19:B23 B26:B30 B33:B37" xr:uid="{640057E1-5AFB-4D25-BC1F-F2EE51922533}">
      <formula1>"เข้าปฎิบัติงาน, วันเสาร์, วันอาทิตย์, วันหยุดนักขัตฤกษ์, อื่นๆ โปรดระบุที่ช่องรายละเอียด"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71D2-DFBF-418D-A2CF-13C289FE9733}">
  <sheetPr>
    <pageSetUpPr fitToPage="1"/>
  </sheetPr>
  <dimension ref="A1:I54"/>
  <sheetViews>
    <sheetView topLeftCell="A21" zoomScale="70" zoomScaleNormal="70" workbookViewId="0">
      <selection activeCell="A35" sqref="A35:G35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9" ht="28.8" customHeight="1" x14ac:dyDescent="0.6">
      <c r="A1" s="64" t="str">
        <f>January!A1</f>
        <v>รายงานการปฏิบัติงาน</v>
      </c>
      <c r="B1" s="64"/>
      <c r="C1" s="64"/>
      <c r="D1" s="64"/>
      <c r="E1" s="64"/>
      <c r="F1" s="64"/>
      <c r="G1" s="64"/>
    </row>
    <row r="2" spans="1:9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9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"&amp;DAY(A37)&amp;" "&amp;CHOOSE(MONTH(A37)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"&amp;YEAR(A37)+543</f>
        <v>1 มิถุนายน 2569 ถึง 30 มิถุนายน 2569</v>
      </c>
      <c r="E3" s="76"/>
      <c r="F3" s="76"/>
      <c r="G3" s="77"/>
    </row>
    <row r="4" spans="1:9" ht="23.4" customHeight="1" x14ac:dyDescent="0.6">
      <c r="A4" s="51"/>
      <c r="B4" s="51"/>
      <c r="C4" s="51"/>
      <c r="D4" s="51"/>
      <c r="E4" s="51"/>
      <c r="F4" s="51"/>
      <c r="G4" s="6"/>
    </row>
    <row r="5" spans="1:9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9" ht="21" customHeight="1" x14ac:dyDescent="0.6">
      <c r="A6" s="8"/>
      <c r="B6" s="9"/>
      <c r="C6" s="10"/>
      <c r="D6" s="11"/>
      <c r="E6" s="11"/>
      <c r="F6" s="11"/>
      <c r="G6" s="11"/>
    </row>
    <row r="7" spans="1:9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9" ht="23.25" customHeight="1" x14ac:dyDescent="0.6">
      <c r="A8" s="33">
        <v>46174</v>
      </c>
      <c r="B8" s="46" t="s">
        <v>18</v>
      </c>
      <c r="C8" s="41"/>
      <c r="D8" s="42"/>
      <c r="E8" s="43"/>
      <c r="F8" s="44"/>
      <c r="G8" s="45"/>
      <c r="I8" s="39"/>
    </row>
    <row r="9" spans="1:9" ht="42" customHeight="1" x14ac:dyDescent="0.6">
      <c r="A9" s="16">
        <f>A8+1</f>
        <v>46175</v>
      </c>
      <c r="B9" s="12" t="s">
        <v>30</v>
      </c>
      <c r="C9" s="36" t="s">
        <v>31</v>
      </c>
      <c r="D9" s="37" t="s">
        <v>32</v>
      </c>
      <c r="E9" s="65" t="s">
        <v>33</v>
      </c>
      <c r="F9" s="48"/>
      <c r="G9" s="49"/>
    </row>
    <row r="10" spans="1:9" ht="23.25" customHeight="1" x14ac:dyDescent="0.6">
      <c r="A10" s="33">
        <f t="shared" ref="A10:A22" si="0">A9+1</f>
        <v>46176</v>
      </c>
      <c r="B10" s="46" t="s">
        <v>18</v>
      </c>
      <c r="C10" s="41"/>
      <c r="D10" s="42"/>
      <c r="E10" s="43"/>
      <c r="F10" s="44"/>
      <c r="G10" s="45"/>
    </row>
    <row r="11" spans="1:9" ht="42" customHeight="1" x14ac:dyDescent="0.6">
      <c r="A11" s="16">
        <f t="shared" si="0"/>
        <v>46177</v>
      </c>
      <c r="B11" s="12" t="s">
        <v>30</v>
      </c>
      <c r="C11" s="36" t="s">
        <v>31</v>
      </c>
      <c r="D11" s="38" t="s">
        <v>34</v>
      </c>
      <c r="E11" s="65" t="s">
        <v>35</v>
      </c>
      <c r="F11" s="48"/>
      <c r="G11" s="49"/>
    </row>
    <row r="12" spans="1:9" ht="42" customHeight="1" x14ac:dyDescent="0.6">
      <c r="A12" s="16">
        <f t="shared" si="0"/>
        <v>46178</v>
      </c>
      <c r="B12" s="12" t="s">
        <v>30</v>
      </c>
      <c r="C12" s="36" t="s">
        <v>31</v>
      </c>
      <c r="D12" s="37" t="s">
        <v>36</v>
      </c>
      <c r="E12" s="65" t="s">
        <v>37</v>
      </c>
      <c r="F12" s="48"/>
      <c r="G12" s="49"/>
    </row>
    <row r="13" spans="1:9" ht="23.25" customHeight="1" x14ac:dyDescent="0.6">
      <c r="A13" s="33">
        <f t="shared" si="0"/>
        <v>46179</v>
      </c>
      <c r="B13" s="46" t="s">
        <v>9</v>
      </c>
      <c r="C13" s="41"/>
      <c r="D13" s="42"/>
      <c r="E13" s="43"/>
      <c r="F13" s="44"/>
      <c r="G13" s="45"/>
    </row>
    <row r="14" spans="1:9" ht="23.25" customHeight="1" x14ac:dyDescent="0.6">
      <c r="A14" s="33">
        <f t="shared" si="0"/>
        <v>46180</v>
      </c>
      <c r="B14" s="46" t="s">
        <v>10</v>
      </c>
      <c r="C14" s="41"/>
      <c r="D14" s="42"/>
      <c r="E14" s="43"/>
      <c r="F14" s="44"/>
      <c r="G14" s="45"/>
    </row>
    <row r="15" spans="1:9" ht="42" customHeight="1" x14ac:dyDescent="0.6">
      <c r="A15" s="16">
        <f t="shared" si="0"/>
        <v>46181</v>
      </c>
      <c r="B15" s="12" t="s">
        <v>30</v>
      </c>
      <c r="C15" s="36" t="s">
        <v>31</v>
      </c>
      <c r="D15" s="37" t="s">
        <v>38</v>
      </c>
      <c r="E15" s="65" t="s">
        <v>39</v>
      </c>
      <c r="F15" s="48"/>
      <c r="G15" s="49"/>
    </row>
    <row r="16" spans="1:9" ht="42" customHeight="1" x14ac:dyDescent="0.6">
      <c r="A16" s="16">
        <f t="shared" si="0"/>
        <v>46182</v>
      </c>
      <c r="B16" s="12" t="s">
        <v>30</v>
      </c>
      <c r="C16" s="36" t="s">
        <v>31</v>
      </c>
      <c r="D16" s="37" t="s">
        <v>40</v>
      </c>
      <c r="E16" s="65" t="s">
        <v>41</v>
      </c>
      <c r="F16" s="48"/>
      <c r="G16" s="49"/>
    </row>
    <row r="17" spans="1:7" ht="42" customHeight="1" x14ac:dyDescent="0.6">
      <c r="A17" s="16">
        <f t="shared" si="0"/>
        <v>46183</v>
      </c>
      <c r="B17" s="12" t="s">
        <v>30</v>
      </c>
      <c r="C17" s="36" t="s">
        <v>31</v>
      </c>
      <c r="D17" s="37" t="s">
        <v>42</v>
      </c>
      <c r="E17" s="65" t="s">
        <v>43</v>
      </c>
      <c r="F17" s="48"/>
      <c r="G17" s="49"/>
    </row>
    <row r="18" spans="1:7" ht="42" customHeight="1" x14ac:dyDescent="0.6">
      <c r="A18" s="16">
        <f t="shared" si="0"/>
        <v>46184</v>
      </c>
      <c r="B18" s="12" t="s">
        <v>30</v>
      </c>
      <c r="C18" s="36" t="s">
        <v>31</v>
      </c>
      <c r="D18" s="37" t="s">
        <v>44</v>
      </c>
      <c r="E18" s="65" t="s">
        <v>45</v>
      </c>
      <c r="F18" s="48"/>
      <c r="G18" s="49"/>
    </row>
    <row r="19" spans="1:7" ht="42" customHeight="1" x14ac:dyDescent="0.6">
      <c r="A19" s="16">
        <f t="shared" si="0"/>
        <v>46185</v>
      </c>
      <c r="B19" s="12" t="s">
        <v>30</v>
      </c>
      <c r="C19" s="36" t="s">
        <v>31</v>
      </c>
      <c r="D19" s="38" t="s">
        <v>46</v>
      </c>
      <c r="E19" s="65" t="s">
        <v>47</v>
      </c>
      <c r="F19" s="48"/>
      <c r="G19" s="49"/>
    </row>
    <row r="20" spans="1:7" ht="23.25" customHeight="1" x14ac:dyDescent="0.6">
      <c r="A20" s="33">
        <f t="shared" si="0"/>
        <v>46186</v>
      </c>
      <c r="B20" s="46" t="s">
        <v>9</v>
      </c>
      <c r="C20" s="41"/>
      <c r="D20" s="42"/>
      <c r="E20" s="43"/>
      <c r="F20" s="44"/>
      <c r="G20" s="45"/>
    </row>
    <row r="21" spans="1:7" ht="23.25" customHeight="1" x14ac:dyDescent="0.6">
      <c r="A21" s="33">
        <f t="shared" si="0"/>
        <v>46187</v>
      </c>
      <c r="B21" s="46" t="s">
        <v>10</v>
      </c>
      <c r="C21" s="41"/>
      <c r="D21" s="42"/>
      <c r="E21" s="43"/>
      <c r="F21" s="44"/>
      <c r="G21" s="45"/>
    </row>
    <row r="22" spans="1:7" ht="42" customHeight="1" x14ac:dyDescent="0.6">
      <c r="A22" s="16">
        <f t="shared" si="0"/>
        <v>46188</v>
      </c>
      <c r="B22" s="12" t="s">
        <v>30</v>
      </c>
      <c r="C22" s="36" t="s">
        <v>31</v>
      </c>
      <c r="D22" s="38" t="s">
        <v>48</v>
      </c>
      <c r="E22" s="65" t="s">
        <v>49</v>
      </c>
      <c r="F22" s="48"/>
      <c r="G22" s="49"/>
    </row>
    <row r="23" spans="1:7" ht="42" customHeight="1" x14ac:dyDescent="0.6">
      <c r="A23" s="16">
        <f>A22+1</f>
        <v>46189</v>
      </c>
      <c r="B23" s="12" t="s">
        <v>30</v>
      </c>
      <c r="C23" s="36" t="s">
        <v>31</v>
      </c>
      <c r="D23" s="37" t="s">
        <v>50</v>
      </c>
      <c r="E23" s="65" t="s">
        <v>51</v>
      </c>
      <c r="F23" s="48"/>
      <c r="G23" s="49"/>
    </row>
    <row r="24" spans="1:7" ht="42" customHeight="1" x14ac:dyDescent="0.6">
      <c r="A24" s="16">
        <f t="shared" ref="A24:A36" si="1">A23+1</f>
        <v>46190</v>
      </c>
      <c r="B24" s="12" t="s">
        <v>30</v>
      </c>
      <c r="C24" s="36" t="s">
        <v>31</v>
      </c>
      <c r="D24" s="37" t="s">
        <v>52</v>
      </c>
      <c r="E24" s="65" t="s">
        <v>53</v>
      </c>
      <c r="F24" s="48"/>
      <c r="G24" s="49"/>
    </row>
    <row r="25" spans="1:7" ht="42" customHeight="1" x14ac:dyDescent="0.6">
      <c r="A25" s="16">
        <f t="shared" si="1"/>
        <v>46191</v>
      </c>
      <c r="B25" s="12" t="s">
        <v>30</v>
      </c>
      <c r="C25" s="36" t="s">
        <v>31</v>
      </c>
      <c r="D25" s="37" t="s">
        <v>54</v>
      </c>
      <c r="E25" s="65" t="s">
        <v>55</v>
      </c>
      <c r="F25" s="48"/>
      <c r="G25" s="49"/>
    </row>
    <row r="26" spans="1:7" ht="42" customHeight="1" x14ac:dyDescent="0.6">
      <c r="A26" s="16">
        <f t="shared" si="1"/>
        <v>46192</v>
      </c>
      <c r="B26" s="12" t="s">
        <v>30</v>
      </c>
      <c r="C26" s="36" t="s">
        <v>31</v>
      </c>
      <c r="D26" s="37" t="s">
        <v>56</v>
      </c>
      <c r="E26" s="65" t="s">
        <v>57</v>
      </c>
      <c r="F26" s="48"/>
      <c r="G26" s="49"/>
    </row>
    <row r="27" spans="1:7" ht="23.25" customHeight="1" x14ac:dyDescent="0.6">
      <c r="A27" s="33">
        <f t="shared" si="1"/>
        <v>46193</v>
      </c>
      <c r="B27" s="46" t="s">
        <v>9</v>
      </c>
      <c r="C27" s="41"/>
      <c r="D27" s="42"/>
      <c r="E27" s="43"/>
      <c r="F27" s="44"/>
      <c r="G27" s="45"/>
    </row>
    <row r="28" spans="1:7" ht="23.25" customHeight="1" x14ac:dyDescent="0.6">
      <c r="A28" s="33">
        <f t="shared" si="1"/>
        <v>46194</v>
      </c>
      <c r="B28" s="46" t="s">
        <v>10</v>
      </c>
      <c r="C28" s="41"/>
      <c r="D28" s="42"/>
      <c r="E28" s="43"/>
      <c r="F28" s="44"/>
      <c r="G28" s="45"/>
    </row>
    <row r="29" spans="1:7" ht="42" customHeight="1" x14ac:dyDescent="0.6">
      <c r="A29" s="16">
        <f t="shared" si="1"/>
        <v>46195</v>
      </c>
      <c r="B29" s="12" t="s">
        <v>30</v>
      </c>
      <c r="C29" s="36" t="s">
        <v>31</v>
      </c>
      <c r="D29" s="37" t="s">
        <v>58</v>
      </c>
      <c r="E29" s="65" t="s">
        <v>59</v>
      </c>
      <c r="F29" s="48"/>
      <c r="G29" s="49"/>
    </row>
    <row r="30" spans="1:7" ht="42" customHeight="1" x14ac:dyDescent="0.6">
      <c r="A30" s="16">
        <f t="shared" si="1"/>
        <v>46196</v>
      </c>
      <c r="B30" s="12" t="s">
        <v>30</v>
      </c>
      <c r="C30" s="36" t="s">
        <v>31</v>
      </c>
      <c r="D30" s="37" t="s">
        <v>60</v>
      </c>
      <c r="E30" s="65" t="s">
        <v>61</v>
      </c>
      <c r="F30" s="48"/>
      <c r="G30" s="49"/>
    </row>
    <row r="31" spans="1:7" ht="42" customHeight="1" x14ac:dyDescent="0.6">
      <c r="A31" s="16">
        <f t="shared" si="1"/>
        <v>46197</v>
      </c>
      <c r="B31" s="12" t="s">
        <v>30</v>
      </c>
      <c r="C31" s="36" t="s">
        <v>31</v>
      </c>
      <c r="D31" s="38" t="s">
        <v>62</v>
      </c>
      <c r="E31" s="65" t="s">
        <v>63</v>
      </c>
      <c r="F31" s="48"/>
      <c r="G31" s="49"/>
    </row>
    <row r="32" spans="1:7" ht="42" customHeight="1" x14ac:dyDescent="0.6">
      <c r="A32" s="16">
        <f t="shared" si="1"/>
        <v>46198</v>
      </c>
      <c r="B32" s="12" t="s">
        <v>30</v>
      </c>
      <c r="C32" s="36" t="s">
        <v>31</v>
      </c>
      <c r="D32" s="37" t="s">
        <v>64</v>
      </c>
      <c r="E32" s="65" t="s">
        <v>65</v>
      </c>
      <c r="F32" s="48"/>
      <c r="G32" s="49"/>
    </row>
    <row r="33" spans="1:7" ht="42" customHeight="1" x14ac:dyDescent="0.6">
      <c r="A33" s="16">
        <f t="shared" si="1"/>
        <v>46199</v>
      </c>
      <c r="B33" s="12" t="s">
        <v>30</v>
      </c>
      <c r="C33" s="36" t="s">
        <v>31</v>
      </c>
      <c r="D33" s="37" t="s">
        <v>66</v>
      </c>
      <c r="E33" s="65" t="s">
        <v>67</v>
      </c>
      <c r="F33" s="48"/>
      <c r="G33" s="49"/>
    </row>
    <row r="34" spans="1:7" ht="23.25" customHeight="1" x14ac:dyDescent="0.6">
      <c r="A34" s="33">
        <f t="shared" si="1"/>
        <v>46200</v>
      </c>
      <c r="B34" s="46" t="s">
        <v>9</v>
      </c>
      <c r="C34" s="41"/>
      <c r="D34" s="42"/>
      <c r="E34" s="43"/>
      <c r="F34" s="44"/>
      <c r="G34" s="45"/>
    </row>
    <row r="35" spans="1:7" ht="23.25" customHeight="1" x14ac:dyDescent="0.6">
      <c r="A35" s="33">
        <f t="shared" si="1"/>
        <v>46201</v>
      </c>
      <c r="B35" s="46" t="s">
        <v>10</v>
      </c>
      <c r="C35" s="41"/>
      <c r="D35" s="42"/>
      <c r="E35" s="43"/>
      <c r="F35" s="44"/>
      <c r="G35" s="45"/>
    </row>
    <row r="36" spans="1:7" ht="42" customHeight="1" x14ac:dyDescent="0.6">
      <c r="A36" s="16">
        <f t="shared" si="1"/>
        <v>46202</v>
      </c>
      <c r="B36" s="12" t="s">
        <v>30</v>
      </c>
      <c r="C36" s="36" t="s">
        <v>31</v>
      </c>
      <c r="D36" s="37" t="s">
        <v>68</v>
      </c>
      <c r="E36" s="65" t="s">
        <v>69</v>
      </c>
      <c r="F36" s="48"/>
      <c r="G36" s="49"/>
    </row>
    <row r="37" spans="1:7" ht="42" customHeight="1" x14ac:dyDescent="0.6">
      <c r="A37" s="17">
        <f>A36+1</f>
        <v>46203</v>
      </c>
      <c r="B37" s="12" t="s">
        <v>30</v>
      </c>
      <c r="C37" s="36" t="s">
        <v>31</v>
      </c>
      <c r="D37" s="37" t="s">
        <v>70</v>
      </c>
      <c r="E37" s="65" t="s">
        <v>71</v>
      </c>
      <c r="F37" s="48"/>
      <c r="G37" s="49"/>
    </row>
    <row r="38" spans="1:7" ht="11.55" customHeight="1" x14ac:dyDescent="0.6">
      <c r="A38" s="19"/>
      <c r="B38" s="19"/>
      <c r="C38" s="19"/>
      <c r="D38" s="19"/>
      <c r="E38" s="19"/>
      <c r="F38" s="19"/>
      <c r="G38" s="19"/>
    </row>
    <row r="39" spans="1:7" ht="23.4" customHeight="1" x14ac:dyDescent="0.6">
      <c r="A39" s="20"/>
      <c r="B39" s="32" t="s">
        <v>22</v>
      </c>
      <c r="C39" s="29">
        <f>COUNTIF($B$8:$B$37, "เข้าปฎิบัติงาน")</f>
        <v>20</v>
      </c>
      <c r="D39" s="34" t="s">
        <v>24</v>
      </c>
      <c r="E39" s="29">
        <f>SUM(COUNTIF($B$8:$B$37, {"วันเสาร์","วันอาทิตย์","วันหยุดนักขัตฤกษ์"}))</f>
        <v>10</v>
      </c>
      <c r="F39" s="6"/>
      <c r="G39" s="6"/>
    </row>
    <row r="40" spans="1:7" ht="23.4" customHeight="1" x14ac:dyDescent="0.6">
      <c r="A40" s="20"/>
      <c r="B40" s="34" t="s">
        <v>23</v>
      </c>
      <c r="C40" s="29">
        <f>COUNTIF($B$8:$B$37, "ไม่เข้าปฎิบัติงาน")</f>
        <v>0</v>
      </c>
      <c r="D40" s="34" t="s">
        <v>25</v>
      </c>
      <c r="E40" s="29">
        <f>COUNTIF($B$8:$B$37, "อื่นๆ โปรดระบุรายละเอียด ")</f>
        <v>0</v>
      </c>
      <c r="F40" s="6"/>
      <c r="G40" s="6"/>
    </row>
    <row r="41" spans="1:7" ht="23.4" customHeight="1" x14ac:dyDescent="0.6">
      <c r="A41" s="20"/>
      <c r="B41" s="21"/>
      <c r="C41" s="22"/>
      <c r="D41" s="19"/>
      <c r="E41" s="19"/>
      <c r="F41" s="19"/>
      <c r="G41" s="19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ht="18" customHeight="1" x14ac:dyDescent="0.6">
      <c r="A45" s="72" t="str">
        <f>B5</f>
        <v xml:space="preserve">บุรพล อัศววิรุฬห์ฤทธิ์ </v>
      </c>
      <c r="B45" s="72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s="26" customFormat="1" ht="18" customHeight="1" x14ac:dyDescent="0.6">
      <c r="A46" s="73" t="str">
        <f>January!$A$44</f>
        <v>Programmer</v>
      </c>
      <c r="B46" s="73"/>
      <c r="D46" s="60" t="s">
        <v>75</v>
      </c>
      <c r="E46" s="60"/>
      <c r="F46" s="3"/>
      <c r="G46" s="74" t="s">
        <v>8</v>
      </c>
    </row>
    <row r="47" spans="1:7" ht="18" customHeight="1" x14ac:dyDescent="0.6">
      <c r="A47" s="23"/>
      <c r="B47" s="25"/>
      <c r="C47" s="25"/>
      <c r="D47" s="75" t="s">
        <v>76</v>
      </c>
      <c r="E47" s="75"/>
      <c r="F47" s="25"/>
      <c r="G47" s="24"/>
    </row>
    <row r="48" spans="1:7" x14ac:dyDescent="0.6">
      <c r="A48" s="24"/>
      <c r="B48" s="24"/>
      <c r="C48" s="24"/>
      <c r="D48" s="24"/>
      <c r="E48" s="24"/>
      <c r="F48" s="24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  <row r="54" spans="1:7" x14ac:dyDescent="0.6">
      <c r="A54" s="24"/>
      <c r="B54" s="24"/>
      <c r="C54" s="24"/>
      <c r="D54" s="24"/>
      <c r="E54" s="24"/>
      <c r="F54" s="24"/>
      <c r="G54" s="24"/>
    </row>
  </sheetData>
  <mergeCells count="32">
    <mergeCell ref="E7:G7"/>
    <mergeCell ref="E32:G32"/>
    <mergeCell ref="E33:G33"/>
    <mergeCell ref="A44:C44"/>
    <mergeCell ref="D46:E46"/>
    <mergeCell ref="E25:G25"/>
    <mergeCell ref="E26:G26"/>
    <mergeCell ref="E29:G29"/>
    <mergeCell ref="E30:G30"/>
    <mergeCell ref="E31:G31"/>
    <mergeCell ref="D47:E47"/>
    <mergeCell ref="E36:G36"/>
    <mergeCell ref="A45:B45"/>
    <mergeCell ref="D45:E45"/>
    <mergeCell ref="A46:B46"/>
    <mergeCell ref="D44:E44"/>
    <mergeCell ref="A1:G1"/>
    <mergeCell ref="A2:G2"/>
    <mergeCell ref="A4:F4"/>
    <mergeCell ref="E37:G37"/>
    <mergeCell ref="E5:G5"/>
    <mergeCell ref="E9:G9"/>
    <mergeCell ref="E11:G11"/>
    <mergeCell ref="E12:G12"/>
    <mergeCell ref="E15:G15"/>
    <mergeCell ref="E16:G16"/>
    <mergeCell ref="E17:G17"/>
    <mergeCell ref="E18:G18"/>
    <mergeCell ref="E19:G19"/>
    <mergeCell ref="E22:G22"/>
    <mergeCell ref="E23:G23"/>
    <mergeCell ref="E24:G24"/>
  </mergeCells>
  <dataValidations count="1">
    <dataValidation type="list" allowBlank="1" showInputMessage="1" showErrorMessage="1" sqref="B8:B37" xr:uid="{010ABD38-6107-482D-8158-FF133F270DB6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1" footer="0.1"/>
  <pageSetup paperSize="9" scale="4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B315-C881-451D-B487-D0D18BA9A449}">
  <sheetPr>
    <pageSetUpPr fitToPage="1"/>
  </sheetPr>
  <dimension ref="A1:G54"/>
  <sheetViews>
    <sheetView topLeftCell="A18" zoomScale="70" zoomScaleNormal="70" workbookViewId="0">
      <selection activeCell="A36" sqref="A36:G36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64" t="str">
        <f>January!A1</f>
        <v>รายงานการปฏิบัติงาน</v>
      </c>
      <c r="B1" s="64"/>
      <c r="C1" s="64"/>
      <c r="D1" s="64"/>
      <c r="E1" s="64"/>
      <c r="F1" s="64"/>
      <c r="G1" s="64"/>
    </row>
    <row r="2" spans="1:7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กรกฎาคม 2569 ถึง 31 กรกฎาคม 2569</v>
      </c>
      <c r="E3" s="76"/>
      <c r="F3" s="76"/>
      <c r="G3" s="77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28">
        <v>46204</v>
      </c>
      <c r="B8" s="12"/>
      <c r="C8" s="13"/>
      <c r="D8" s="14"/>
      <c r="E8" s="47"/>
      <c r="F8" s="48"/>
      <c r="G8" s="49"/>
    </row>
    <row r="9" spans="1:7" ht="42" customHeight="1" x14ac:dyDescent="0.6">
      <c r="A9" s="16">
        <f>A8+1</f>
        <v>46205</v>
      </c>
      <c r="B9" s="12"/>
      <c r="C9" s="13"/>
      <c r="D9" s="14"/>
      <c r="E9" s="47"/>
      <c r="F9" s="48"/>
      <c r="G9" s="49"/>
    </row>
    <row r="10" spans="1:7" ht="23.25" customHeight="1" x14ac:dyDescent="0.6">
      <c r="A10" s="16">
        <f t="shared" ref="A10:A22" si="0">A9+1</f>
        <v>46206</v>
      </c>
      <c r="B10" s="12"/>
      <c r="C10" s="13"/>
      <c r="D10" s="14"/>
      <c r="E10" s="47"/>
      <c r="F10" s="48"/>
      <c r="G10" s="49"/>
    </row>
    <row r="11" spans="1:7" ht="23.25" customHeight="1" x14ac:dyDescent="0.6">
      <c r="A11" s="33">
        <f t="shared" si="0"/>
        <v>46207</v>
      </c>
      <c r="B11" s="46" t="s">
        <v>9</v>
      </c>
      <c r="C11" s="41"/>
      <c r="D11" s="42"/>
      <c r="E11" s="43"/>
      <c r="F11" s="44"/>
      <c r="G11" s="45"/>
    </row>
    <row r="12" spans="1:7" ht="23.25" customHeight="1" x14ac:dyDescent="0.6">
      <c r="A12" s="33">
        <f t="shared" si="0"/>
        <v>46208</v>
      </c>
      <c r="B12" s="46" t="s">
        <v>10</v>
      </c>
      <c r="C12" s="41"/>
      <c r="D12" s="42"/>
      <c r="E12" s="43"/>
      <c r="F12" s="44"/>
      <c r="G12" s="45"/>
    </row>
    <row r="13" spans="1:7" ht="23.25" customHeight="1" x14ac:dyDescent="0.6">
      <c r="A13" s="16">
        <f t="shared" si="0"/>
        <v>46209</v>
      </c>
      <c r="B13" s="12"/>
      <c r="C13" s="13"/>
      <c r="D13" s="14"/>
      <c r="E13" s="47"/>
      <c r="F13" s="48"/>
      <c r="G13" s="49"/>
    </row>
    <row r="14" spans="1:7" ht="23.25" customHeight="1" x14ac:dyDescent="0.6">
      <c r="A14" s="16">
        <f t="shared" si="0"/>
        <v>46210</v>
      </c>
      <c r="B14" s="12"/>
      <c r="C14" s="13"/>
      <c r="D14" s="14"/>
      <c r="E14" s="47"/>
      <c r="F14" s="48"/>
      <c r="G14" s="49"/>
    </row>
    <row r="15" spans="1:7" ht="42" customHeight="1" x14ac:dyDescent="0.6">
      <c r="A15" s="16">
        <f t="shared" si="0"/>
        <v>46211</v>
      </c>
      <c r="B15" s="12"/>
      <c r="C15" s="13"/>
      <c r="D15" s="27"/>
      <c r="E15" s="47"/>
      <c r="F15" s="48"/>
      <c r="G15" s="49"/>
    </row>
    <row r="16" spans="1:7" ht="42" customHeight="1" x14ac:dyDescent="0.6">
      <c r="A16" s="16">
        <f t="shared" si="0"/>
        <v>46212</v>
      </c>
      <c r="B16" s="12"/>
      <c r="C16" s="13"/>
      <c r="D16" s="14"/>
      <c r="E16" s="47"/>
      <c r="F16" s="48"/>
      <c r="G16" s="49"/>
    </row>
    <row r="17" spans="1:7" ht="42" customHeight="1" x14ac:dyDescent="0.6">
      <c r="A17" s="16">
        <f t="shared" si="0"/>
        <v>46213</v>
      </c>
      <c r="B17" s="12"/>
      <c r="C17" s="13"/>
      <c r="D17" s="14"/>
      <c r="E17" s="47"/>
      <c r="F17" s="48"/>
      <c r="G17" s="49"/>
    </row>
    <row r="18" spans="1:7" ht="23.25" customHeight="1" x14ac:dyDescent="0.6">
      <c r="A18" s="33">
        <f t="shared" si="0"/>
        <v>46214</v>
      </c>
      <c r="B18" s="46" t="s">
        <v>9</v>
      </c>
      <c r="C18" s="41"/>
      <c r="D18" s="42"/>
      <c r="E18" s="43"/>
      <c r="F18" s="44"/>
      <c r="G18" s="45"/>
    </row>
    <row r="19" spans="1:7" ht="23.25" customHeight="1" x14ac:dyDescent="0.6">
      <c r="A19" s="33">
        <f t="shared" si="0"/>
        <v>46215</v>
      </c>
      <c r="B19" s="46" t="s">
        <v>10</v>
      </c>
      <c r="C19" s="41"/>
      <c r="D19" s="42"/>
      <c r="E19" s="43"/>
      <c r="F19" s="44"/>
      <c r="G19" s="45"/>
    </row>
    <row r="20" spans="1:7" ht="23.25" customHeight="1" x14ac:dyDescent="0.6">
      <c r="A20" s="16">
        <f t="shared" si="0"/>
        <v>46216</v>
      </c>
      <c r="B20" s="12"/>
      <c r="C20" s="13"/>
      <c r="D20" s="27"/>
      <c r="E20" s="47"/>
      <c r="F20" s="48"/>
      <c r="G20" s="49"/>
    </row>
    <row r="21" spans="1:7" ht="23.25" customHeight="1" x14ac:dyDescent="0.6">
      <c r="A21" s="16">
        <f t="shared" si="0"/>
        <v>46217</v>
      </c>
      <c r="B21" s="12"/>
      <c r="C21" s="13"/>
      <c r="D21" s="14"/>
      <c r="E21" s="47"/>
      <c r="F21" s="48"/>
      <c r="G21" s="49"/>
    </row>
    <row r="22" spans="1:7" ht="42" customHeight="1" x14ac:dyDescent="0.6">
      <c r="A22" s="16">
        <f t="shared" si="0"/>
        <v>46218</v>
      </c>
      <c r="B22" s="12"/>
      <c r="C22" s="13"/>
      <c r="D22" s="14"/>
      <c r="E22" s="47"/>
      <c r="F22" s="48"/>
      <c r="G22" s="49"/>
    </row>
    <row r="23" spans="1:7" ht="42" customHeight="1" x14ac:dyDescent="0.6">
      <c r="A23" s="16">
        <f>A22+1</f>
        <v>46219</v>
      </c>
      <c r="B23" s="12"/>
      <c r="C23" s="13"/>
      <c r="D23" s="27"/>
      <c r="E23" s="47"/>
      <c r="F23" s="48"/>
      <c r="G23" s="49"/>
    </row>
    <row r="24" spans="1:7" ht="42" customHeight="1" x14ac:dyDescent="0.6">
      <c r="A24" s="16">
        <f t="shared" ref="A24:A38" si="1">A23+1</f>
        <v>46220</v>
      </c>
      <c r="B24" s="12"/>
      <c r="C24" s="13"/>
      <c r="D24" s="14"/>
      <c r="E24" s="47"/>
      <c r="F24" s="48"/>
      <c r="G24" s="49"/>
    </row>
    <row r="25" spans="1:7" ht="23.25" customHeight="1" x14ac:dyDescent="0.6">
      <c r="A25" s="33">
        <f t="shared" si="1"/>
        <v>46221</v>
      </c>
      <c r="B25" s="46" t="s">
        <v>9</v>
      </c>
      <c r="C25" s="41"/>
      <c r="D25" s="42"/>
      <c r="E25" s="43"/>
      <c r="F25" s="44"/>
      <c r="G25" s="45"/>
    </row>
    <row r="26" spans="1:7" ht="23.25" customHeight="1" x14ac:dyDescent="0.6">
      <c r="A26" s="33">
        <f t="shared" si="1"/>
        <v>46222</v>
      </c>
      <c r="B26" s="46" t="s">
        <v>10</v>
      </c>
      <c r="C26" s="41"/>
      <c r="D26" s="42"/>
      <c r="E26" s="43"/>
      <c r="F26" s="44"/>
      <c r="G26" s="45"/>
    </row>
    <row r="27" spans="1:7" ht="23.25" customHeight="1" x14ac:dyDescent="0.6">
      <c r="A27" s="16">
        <f t="shared" si="1"/>
        <v>46223</v>
      </c>
      <c r="B27" s="12"/>
      <c r="C27" s="13"/>
      <c r="D27" s="14"/>
      <c r="E27" s="47"/>
      <c r="F27" s="48"/>
      <c r="G27" s="49"/>
    </row>
    <row r="28" spans="1:7" ht="23.25" customHeight="1" x14ac:dyDescent="0.6">
      <c r="A28" s="16">
        <f t="shared" si="1"/>
        <v>46224</v>
      </c>
      <c r="B28" s="12"/>
      <c r="C28" s="13"/>
      <c r="D28" s="14"/>
      <c r="E28" s="47"/>
      <c r="F28" s="48"/>
      <c r="G28" s="49"/>
    </row>
    <row r="29" spans="1:7" ht="42" customHeight="1" x14ac:dyDescent="0.6">
      <c r="A29" s="16">
        <f t="shared" si="1"/>
        <v>46225</v>
      </c>
      <c r="B29" s="12"/>
      <c r="C29" s="13"/>
      <c r="D29" s="14"/>
      <c r="E29" s="47"/>
      <c r="F29" s="48"/>
      <c r="G29" s="49"/>
    </row>
    <row r="30" spans="1:7" ht="42" customHeight="1" x14ac:dyDescent="0.6">
      <c r="A30" s="16">
        <f t="shared" si="1"/>
        <v>46226</v>
      </c>
      <c r="B30" s="12"/>
      <c r="C30" s="13"/>
      <c r="D30" s="14"/>
      <c r="E30" s="47"/>
      <c r="F30" s="48"/>
      <c r="G30" s="49"/>
    </row>
    <row r="31" spans="1:7" ht="42" customHeight="1" x14ac:dyDescent="0.6">
      <c r="A31" s="16">
        <f t="shared" si="1"/>
        <v>46227</v>
      </c>
      <c r="B31" s="12"/>
      <c r="C31" s="13"/>
      <c r="D31" s="27"/>
      <c r="E31" s="47"/>
      <c r="F31" s="48"/>
      <c r="G31" s="49"/>
    </row>
    <row r="32" spans="1:7" ht="23.25" customHeight="1" x14ac:dyDescent="0.6">
      <c r="A32" s="33">
        <f t="shared" si="1"/>
        <v>46228</v>
      </c>
      <c r="B32" s="46" t="s">
        <v>9</v>
      </c>
      <c r="C32" s="41"/>
      <c r="D32" s="42"/>
      <c r="E32" s="43"/>
      <c r="F32" s="44"/>
      <c r="G32" s="45"/>
    </row>
    <row r="33" spans="1:7" ht="23.25" customHeight="1" x14ac:dyDescent="0.6">
      <c r="A33" s="33">
        <f t="shared" si="1"/>
        <v>46229</v>
      </c>
      <c r="B33" s="46" t="s">
        <v>10</v>
      </c>
      <c r="C33" s="41"/>
      <c r="D33" s="42"/>
      <c r="E33" s="43"/>
      <c r="F33" s="44"/>
      <c r="G33" s="45"/>
    </row>
    <row r="34" spans="1:7" ht="23.25" customHeight="1" x14ac:dyDescent="0.6">
      <c r="A34" s="16">
        <f t="shared" si="1"/>
        <v>46230</v>
      </c>
      <c r="B34" s="12"/>
      <c r="C34" s="13"/>
      <c r="D34" s="14"/>
      <c r="E34" s="47"/>
      <c r="F34" s="48"/>
      <c r="G34" s="49"/>
    </row>
    <row r="35" spans="1:7" ht="23.25" customHeight="1" x14ac:dyDescent="0.6">
      <c r="A35" s="33">
        <f t="shared" si="1"/>
        <v>46231</v>
      </c>
      <c r="B35" s="46" t="s">
        <v>18</v>
      </c>
      <c r="C35" s="41"/>
      <c r="D35" s="42"/>
      <c r="E35" s="43"/>
      <c r="F35" s="44"/>
      <c r="G35" s="45"/>
    </row>
    <row r="36" spans="1:7" ht="23.25" customHeight="1" x14ac:dyDescent="0.6">
      <c r="A36" s="33">
        <f t="shared" si="1"/>
        <v>46232</v>
      </c>
      <c r="B36" s="46" t="s">
        <v>18</v>
      </c>
      <c r="C36" s="41"/>
      <c r="D36" s="42"/>
      <c r="E36" s="43"/>
      <c r="F36" s="44"/>
      <c r="G36" s="45"/>
    </row>
    <row r="37" spans="1:7" ht="42" customHeight="1" x14ac:dyDescent="0.6">
      <c r="A37" s="16">
        <f t="shared" si="1"/>
        <v>46233</v>
      </c>
      <c r="B37" s="12"/>
      <c r="C37" s="13"/>
      <c r="D37" s="14"/>
      <c r="E37" s="47"/>
      <c r="F37" s="48"/>
      <c r="G37" s="49"/>
    </row>
    <row r="38" spans="1:7" ht="11.55" customHeight="1" x14ac:dyDescent="0.6">
      <c r="A38" s="17">
        <f t="shared" si="1"/>
        <v>46234</v>
      </c>
      <c r="B38" s="12"/>
      <c r="C38" s="13"/>
      <c r="D38" s="14"/>
      <c r="E38" s="47"/>
      <c r="F38" s="48"/>
      <c r="G38" s="49"/>
    </row>
    <row r="39" spans="1:7" ht="23.4" customHeight="1" x14ac:dyDescent="0.6">
      <c r="A39" s="19"/>
      <c r="B39" s="19"/>
      <c r="C39" s="19"/>
      <c r="D39" s="19"/>
      <c r="E39" s="19"/>
      <c r="F39" s="19"/>
      <c r="G39" s="19"/>
    </row>
    <row r="40" spans="1:7" ht="23.4" customHeight="1" x14ac:dyDescent="0.6">
      <c r="A40" s="20"/>
      <c r="B40" s="32" t="s">
        <v>22</v>
      </c>
      <c r="C40" s="29">
        <f>COUNTIF($B$8:$B$38, "เข้าปฎิบัติงาน")</f>
        <v>0</v>
      </c>
      <c r="D40" s="34" t="s">
        <v>24</v>
      </c>
      <c r="E40" s="29">
        <f>SUM(COUNTIF($B$8:$B$38, {"วันเสาร์","วันอาทิตย์","วันหยุดนักขัตฤกษ์"}))</f>
        <v>10</v>
      </c>
      <c r="F40" s="6"/>
      <c r="G40" s="6"/>
    </row>
    <row r="41" spans="1:7" ht="23.4" customHeight="1" x14ac:dyDescent="0.6">
      <c r="A41" s="20"/>
      <c r="B41" s="34" t="s">
        <v>23</v>
      </c>
      <c r="C41" s="29">
        <f>COUNTIF($B$8:$B$38, "ไม่เข้าปฎิบัติงาน")</f>
        <v>0</v>
      </c>
      <c r="D41" s="34" t="s">
        <v>25</v>
      </c>
      <c r="E41" s="29">
        <f>COUNTIF($B$8:$B$38, "อื่นๆ โปรดระบุรายละเอียด ")</f>
        <v>0</v>
      </c>
      <c r="F41" s="6"/>
      <c r="G41" s="6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ht="18" customHeight="1" x14ac:dyDescent="0.6">
      <c r="A45" s="72" t="str">
        <f>B5</f>
        <v xml:space="preserve">บุรพล อัศววิรุฬห์ฤทธิ์ </v>
      </c>
      <c r="B45" s="72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s="26" customFormat="1" ht="18" customHeight="1" x14ac:dyDescent="0.6">
      <c r="A46" s="73" t="str">
        <f>January!$A$44</f>
        <v>Programmer</v>
      </c>
      <c r="B46" s="73"/>
      <c r="D46" s="60" t="s">
        <v>75</v>
      </c>
      <c r="E46" s="60"/>
      <c r="F46" s="3"/>
      <c r="G46" s="74" t="s">
        <v>8</v>
      </c>
    </row>
    <row r="47" spans="1:7" ht="18" customHeight="1" x14ac:dyDescent="0.6">
      <c r="A47" s="23"/>
      <c r="B47" s="25"/>
      <c r="C47" s="25"/>
      <c r="D47" s="75" t="s">
        <v>78</v>
      </c>
      <c r="E47" s="75"/>
      <c r="F47" s="25"/>
      <c r="G47" s="24"/>
    </row>
    <row r="48" spans="1:7" ht="23.4" customHeight="1" x14ac:dyDescent="0.6">
      <c r="A48" s="24"/>
      <c r="B48" s="24"/>
      <c r="C48" s="24"/>
      <c r="D48" s="24"/>
      <c r="E48" s="24"/>
      <c r="F48" s="24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  <row r="54" spans="1:7" x14ac:dyDescent="0.6">
      <c r="A54" s="24"/>
      <c r="B54" s="24"/>
      <c r="C54" s="24"/>
      <c r="D54" s="24"/>
      <c r="E54" s="24"/>
      <c r="F54" s="24"/>
      <c r="G54" s="24"/>
    </row>
  </sheetData>
  <mergeCells count="33">
    <mergeCell ref="E9:G9"/>
    <mergeCell ref="E10:G10"/>
    <mergeCell ref="E13:G13"/>
    <mergeCell ref="E24:G24"/>
    <mergeCell ref="E27:G27"/>
    <mergeCell ref="E14:G14"/>
    <mergeCell ref="E15:G15"/>
    <mergeCell ref="E16:G16"/>
    <mergeCell ref="E17:G17"/>
    <mergeCell ref="E20:G20"/>
    <mergeCell ref="E21:G21"/>
    <mergeCell ref="E22:G22"/>
    <mergeCell ref="E23:G23"/>
    <mergeCell ref="A1:G1"/>
    <mergeCell ref="A2:G2"/>
    <mergeCell ref="A4:F4"/>
    <mergeCell ref="E5:G5"/>
    <mergeCell ref="E8:G8"/>
    <mergeCell ref="E7:G7"/>
    <mergeCell ref="D47:E47"/>
    <mergeCell ref="E38:G38"/>
    <mergeCell ref="E37:G37"/>
    <mergeCell ref="E28:G28"/>
    <mergeCell ref="E29:G29"/>
    <mergeCell ref="E30:G30"/>
    <mergeCell ref="E31:G31"/>
    <mergeCell ref="E34:G34"/>
    <mergeCell ref="A45:B45"/>
    <mergeCell ref="D45:E45"/>
    <mergeCell ref="A46:B46"/>
    <mergeCell ref="A44:C44"/>
    <mergeCell ref="D46:E46"/>
    <mergeCell ref="D44:E44"/>
  </mergeCells>
  <dataValidations count="1">
    <dataValidation type="list" allowBlank="1" showInputMessage="1" showErrorMessage="1" sqref="B8:B38" xr:uid="{11217B32-120A-47D5-84B7-4A5092F3DC71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440A-6E34-4DF6-AA48-1A0FAFD9F28B}">
  <sheetPr>
    <pageSetUpPr fitToPage="1"/>
  </sheetPr>
  <dimension ref="A1:G54"/>
  <sheetViews>
    <sheetView topLeftCell="A20" zoomScale="70" zoomScaleNormal="70" workbookViewId="0">
      <selection activeCell="A37" sqref="A37:G37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66" t="str">
        <f>January!A1</f>
        <v>รายงานการปฏิบัติงาน</v>
      </c>
      <c r="B1" s="66"/>
      <c r="C1" s="66"/>
      <c r="D1" s="66"/>
      <c r="E1" s="66"/>
      <c r="F1" s="66"/>
      <c r="G1" s="66"/>
    </row>
    <row r="2" spans="1:7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สิงหาคม 2569 ถึง 31 สิงหาคม 2569</v>
      </c>
      <c r="E3" s="76"/>
      <c r="F3" s="76"/>
      <c r="G3" s="77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33">
        <v>46235</v>
      </c>
      <c r="B8" s="46" t="s">
        <v>9</v>
      </c>
      <c r="C8" s="41"/>
      <c r="D8" s="42"/>
      <c r="E8" s="43"/>
      <c r="F8" s="44"/>
      <c r="G8" s="45"/>
    </row>
    <row r="9" spans="1:7" ht="23.25" customHeight="1" x14ac:dyDescent="0.6">
      <c r="A9" s="33">
        <f>A8+1</f>
        <v>46236</v>
      </c>
      <c r="B9" s="46" t="s">
        <v>10</v>
      </c>
      <c r="C9" s="41"/>
      <c r="D9" s="42"/>
      <c r="E9" s="43"/>
      <c r="F9" s="44"/>
      <c r="G9" s="45"/>
    </row>
    <row r="10" spans="1:7" ht="23.25" customHeight="1" x14ac:dyDescent="0.6">
      <c r="A10" s="16">
        <f t="shared" ref="A10:A22" si="0">A9+1</f>
        <v>46237</v>
      </c>
      <c r="B10" s="12"/>
      <c r="C10" s="13"/>
      <c r="D10" s="27"/>
      <c r="E10" s="47"/>
      <c r="F10" s="48"/>
      <c r="G10" s="49"/>
    </row>
    <row r="11" spans="1:7" ht="42" customHeight="1" x14ac:dyDescent="0.6">
      <c r="A11" s="16">
        <f t="shared" si="0"/>
        <v>46238</v>
      </c>
      <c r="B11" s="12"/>
      <c r="C11" s="13"/>
      <c r="D11" s="14"/>
      <c r="E11" s="47"/>
      <c r="F11" s="48"/>
      <c r="G11" s="49"/>
    </row>
    <row r="12" spans="1:7" ht="42" customHeight="1" x14ac:dyDescent="0.6">
      <c r="A12" s="16">
        <f t="shared" si="0"/>
        <v>46239</v>
      </c>
      <c r="B12" s="12"/>
      <c r="C12" s="13"/>
      <c r="D12" s="14"/>
      <c r="E12" s="47"/>
      <c r="F12" s="48"/>
      <c r="G12" s="49"/>
    </row>
    <row r="13" spans="1:7" ht="23.25" customHeight="1" x14ac:dyDescent="0.6">
      <c r="A13" s="16">
        <f t="shared" si="0"/>
        <v>46240</v>
      </c>
      <c r="B13" s="12"/>
      <c r="C13" s="13"/>
      <c r="D13" s="14"/>
      <c r="E13" s="47"/>
      <c r="F13" s="48"/>
      <c r="G13" s="49"/>
    </row>
    <row r="14" spans="1:7" ht="23.25" customHeight="1" x14ac:dyDescent="0.6">
      <c r="A14" s="16">
        <f t="shared" si="0"/>
        <v>46241</v>
      </c>
      <c r="B14" s="12"/>
      <c r="C14" s="13"/>
      <c r="D14" s="14"/>
      <c r="E14" s="47"/>
      <c r="F14" s="48"/>
      <c r="G14" s="49"/>
    </row>
    <row r="15" spans="1:7" ht="23.25" customHeight="1" x14ac:dyDescent="0.6">
      <c r="A15" s="33">
        <f t="shared" si="0"/>
        <v>46242</v>
      </c>
      <c r="B15" s="46" t="s">
        <v>9</v>
      </c>
      <c r="C15" s="41"/>
      <c r="D15" s="42"/>
      <c r="E15" s="43"/>
      <c r="F15" s="44"/>
      <c r="G15" s="45"/>
    </row>
    <row r="16" spans="1:7" ht="23.25" customHeight="1" x14ac:dyDescent="0.6">
      <c r="A16" s="33">
        <f t="shared" si="0"/>
        <v>46243</v>
      </c>
      <c r="B16" s="46" t="s">
        <v>10</v>
      </c>
      <c r="C16" s="41"/>
      <c r="D16" s="42"/>
      <c r="E16" s="43"/>
      <c r="F16" s="44"/>
      <c r="G16" s="45"/>
    </row>
    <row r="17" spans="1:7" ht="42" customHeight="1" x14ac:dyDescent="0.6">
      <c r="A17" s="16">
        <f t="shared" si="0"/>
        <v>46244</v>
      </c>
      <c r="B17" s="12"/>
      <c r="C17" s="13"/>
      <c r="D17" s="27"/>
      <c r="E17" s="47"/>
      <c r="F17" s="48"/>
      <c r="G17" s="49"/>
    </row>
    <row r="18" spans="1:7" ht="42" customHeight="1" x14ac:dyDescent="0.6">
      <c r="A18" s="16">
        <f t="shared" si="0"/>
        <v>46245</v>
      </c>
      <c r="B18" s="12"/>
      <c r="C18" s="13"/>
      <c r="D18" s="14"/>
      <c r="E18" s="47"/>
      <c r="F18" s="48"/>
      <c r="G18" s="49"/>
    </row>
    <row r="19" spans="1:7" ht="23.25" customHeight="1" x14ac:dyDescent="0.6">
      <c r="A19" s="33">
        <f t="shared" si="0"/>
        <v>46246</v>
      </c>
      <c r="B19" s="46" t="s">
        <v>18</v>
      </c>
      <c r="C19" s="41"/>
      <c r="D19" s="42"/>
      <c r="E19" s="43"/>
      <c r="F19" s="44"/>
      <c r="G19" s="45"/>
    </row>
    <row r="20" spans="1:7" ht="23.25" customHeight="1" x14ac:dyDescent="0.6">
      <c r="A20" s="16">
        <f t="shared" si="0"/>
        <v>46247</v>
      </c>
      <c r="B20" s="12"/>
      <c r="C20" s="13"/>
      <c r="D20" s="14"/>
      <c r="E20" s="47"/>
      <c r="F20" s="48"/>
      <c r="G20" s="49"/>
    </row>
    <row r="21" spans="1:7" ht="23.25" customHeight="1" x14ac:dyDescent="0.6">
      <c r="A21" s="16">
        <f t="shared" si="0"/>
        <v>46248</v>
      </c>
      <c r="B21" s="12"/>
      <c r="C21" s="13"/>
      <c r="D21" s="14"/>
      <c r="E21" s="47"/>
      <c r="F21" s="48"/>
      <c r="G21" s="49"/>
    </row>
    <row r="22" spans="1:7" ht="23.25" customHeight="1" x14ac:dyDescent="0.6">
      <c r="A22" s="33">
        <f t="shared" si="0"/>
        <v>46249</v>
      </c>
      <c r="B22" s="46" t="s">
        <v>9</v>
      </c>
      <c r="C22" s="41"/>
      <c r="D22" s="42"/>
      <c r="E22" s="43"/>
      <c r="F22" s="44"/>
      <c r="G22" s="45"/>
    </row>
    <row r="23" spans="1:7" ht="23.25" customHeight="1" x14ac:dyDescent="0.6">
      <c r="A23" s="33">
        <f>A22+1</f>
        <v>46250</v>
      </c>
      <c r="B23" s="46" t="s">
        <v>10</v>
      </c>
      <c r="C23" s="41"/>
      <c r="D23" s="42"/>
      <c r="E23" s="43"/>
      <c r="F23" s="44"/>
      <c r="G23" s="45"/>
    </row>
    <row r="24" spans="1:7" ht="42" customHeight="1" x14ac:dyDescent="0.6">
      <c r="A24" s="16">
        <f t="shared" ref="A24:A38" si="1">A23+1</f>
        <v>46251</v>
      </c>
      <c r="B24" s="12"/>
      <c r="C24" s="13"/>
      <c r="D24" s="27"/>
      <c r="E24" s="47"/>
      <c r="F24" s="48"/>
      <c r="G24" s="49"/>
    </row>
    <row r="25" spans="1:7" ht="42" customHeight="1" x14ac:dyDescent="0.6">
      <c r="A25" s="16">
        <f t="shared" si="1"/>
        <v>46252</v>
      </c>
      <c r="B25" s="12"/>
      <c r="C25" s="13"/>
      <c r="D25" s="14"/>
      <c r="E25" s="47"/>
      <c r="F25" s="48"/>
      <c r="G25" s="49"/>
    </row>
    <row r="26" spans="1:7" ht="42" customHeight="1" x14ac:dyDescent="0.6">
      <c r="A26" s="16">
        <f t="shared" si="1"/>
        <v>46253</v>
      </c>
      <c r="B26" s="12"/>
      <c r="C26" s="13"/>
      <c r="D26" s="14"/>
      <c r="E26" s="47"/>
      <c r="F26" s="48"/>
      <c r="G26" s="49"/>
    </row>
    <row r="27" spans="1:7" ht="23.25" customHeight="1" x14ac:dyDescent="0.6">
      <c r="A27" s="16">
        <f t="shared" si="1"/>
        <v>46254</v>
      </c>
      <c r="B27" s="12"/>
      <c r="C27" s="13"/>
      <c r="D27" s="27"/>
      <c r="E27" s="47"/>
      <c r="F27" s="48"/>
      <c r="G27" s="49"/>
    </row>
    <row r="28" spans="1:7" ht="23.25" customHeight="1" x14ac:dyDescent="0.6">
      <c r="A28" s="16">
        <f t="shared" si="1"/>
        <v>46255</v>
      </c>
      <c r="B28" s="12"/>
      <c r="C28" s="13"/>
      <c r="D28" s="14"/>
      <c r="E28" s="47"/>
      <c r="F28" s="48"/>
      <c r="G28" s="49"/>
    </row>
    <row r="29" spans="1:7" ht="23.25" customHeight="1" x14ac:dyDescent="0.6">
      <c r="A29" s="33">
        <f t="shared" si="1"/>
        <v>46256</v>
      </c>
      <c r="B29" s="46" t="s">
        <v>9</v>
      </c>
      <c r="C29" s="41"/>
      <c r="D29" s="42"/>
      <c r="E29" s="43"/>
      <c r="F29" s="44"/>
      <c r="G29" s="45"/>
    </row>
    <row r="30" spans="1:7" ht="23.25" customHeight="1" x14ac:dyDescent="0.6">
      <c r="A30" s="33">
        <f t="shared" si="1"/>
        <v>46257</v>
      </c>
      <c r="B30" s="46" t="s">
        <v>10</v>
      </c>
      <c r="C30" s="41"/>
      <c r="D30" s="42"/>
      <c r="E30" s="43"/>
      <c r="F30" s="44"/>
      <c r="G30" s="45"/>
    </row>
    <row r="31" spans="1:7" ht="42" customHeight="1" x14ac:dyDescent="0.6">
      <c r="A31" s="16">
        <f t="shared" si="1"/>
        <v>46258</v>
      </c>
      <c r="B31" s="12"/>
      <c r="C31" s="13"/>
      <c r="D31" s="27"/>
      <c r="E31" s="47"/>
      <c r="F31" s="48"/>
      <c r="G31" s="49"/>
    </row>
    <row r="32" spans="1:7" ht="42" customHeight="1" x14ac:dyDescent="0.6">
      <c r="A32" s="16">
        <f t="shared" si="1"/>
        <v>46259</v>
      </c>
      <c r="B32" s="12"/>
      <c r="C32" s="13"/>
      <c r="D32" s="14"/>
      <c r="E32" s="47"/>
      <c r="F32" s="48"/>
      <c r="G32" s="49"/>
    </row>
    <row r="33" spans="1:7" ht="42" customHeight="1" x14ac:dyDescent="0.6">
      <c r="A33" s="16">
        <f t="shared" si="1"/>
        <v>46260</v>
      </c>
      <c r="B33" s="12"/>
      <c r="C33" s="13"/>
      <c r="D33" s="14"/>
      <c r="E33" s="47"/>
      <c r="F33" s="48"/>
      <c r="G33" s="49"/>
    </row>
    <row r="34" spans="1:7" ht="23.25" customHeight="1" x14ac:dyDescent="0.6">
      <c r="A34" s="16">
        <f t="shared" si="1"/>
        <v>46261</v>
      </c>
      <c r="B34" s="12"/>
      <c r="C34" s="13"/>
      <c r="D34" s="14"/>
      <c r="E34" s="47"/>
      <c r="F34" s="48"/>
      <c r="G34" s="49"/>
    </row>
    <row r="35" spans="1:7" ht="23.25" customHeight="1" x14ac:dyDescent="0.6">
      <c r="A35" s="16">
        <f t="shared" si="1"/>
        <v>46262</v>
      </c>
      <c r="B35" s="12"/>
      <c r="C35" s="13"/>
      <c r="D35" s="27"/>
      <c r="E35" s="47"/>
      <c r="F35" s="48"/>
      <c r="G35" s="49"/>
    </row>
    <row r="36" spans="1:7" ht="23.25" customHeight="1" x14ac:dyDescent="0.6">
      <c r="A36" s="33">
        <f t="shared" si="1"/>
        <v>46263</v>
      </c>
      <c r="B36" s="46" t="s">
        <v>9</v>
      </c>
      <c r="C36" s="41"/>
      <c r="D36" s="42"/>
      <c r="E36" s="43"/>
      <c r="F36" s="44"/>
      <c r="G36" s="45"/>
    </row>
    <row r="37" spans="1:7" ht="23.25" customHeight="1" x14ac:dyDescent="0.6">
      <c r="A37" s="33">
        <f t="shared" si="1"/>
        <v>46264</v>
      </c>
      <c r="B37" s="46" t="s">
        <v>10</v>
      </c>
      <c r="C37" s="41"/>
      <c r="D37" s="42"/>
      <c r="E37" s="43"/>
      <c r="F37" s="44"/>
      <c r="G37" s="45"/>
    </row>
    <row r="38" spans="1:7" ht="11.55" customHeight="1" x14ac:dyDescent="0.6">
      <c r="A38" s="17">
        <f t="shared" si="1"/>
        <v>46265</v>
      </c>
      <c r="B38" s="12"/>
      <c r="C38" s="13"/>
      <c r="D38" s="13"/>
      <c r="E38" s="47"/>
      <c r="F38" s="48"/>
      <c r="G38" s="49"/>
    </row>
    <row r="39" spans="1:7" ht="23.4" customHeight="1" x14ac:dyDescent="0.6">
      <c r="A39" s="19"/>
      <c r="B39" s="19"/>
      <c r="C39" s="19"/>
      <c r="D39" s="19"/>
      <c r="E39" s="19"/>
      <c r="F39" s="19"/>
      <c r="G39" s="19"/>
    </row>
    <row r="40" spans="1:7" ht="23.4" customHeight="1" x14ac:dyDescent="0.6">
      <c r="A40" s="20"/>
      <c r="B40" s="32" t="s">
        <v>22</v>
      </c>
      <c r="C40" s="29">
        <f>COUNTIF($B$8:$B$38, "เข้าปฎิบัติงาน")</f>
        <v>0</v>
      </c>
      <c r="D40" s="34" t="s">
        <v>24</v>
      </c>
      <c r="E40" s="29">
        <f>SUM(COUNTIF($B$8:$B$38, {"วันเสาร์","วันอาทิตย์","วันหยุดนักขัตฤกษ์"}))</f>
        <v>11</v>
      </c>
      <c r="F40" s="6"/>
      <c r="G40" s="6"/>
    </row>
    <row r="41" spans="1:7" ht="23.4" customHeight="1" x14ac:dyDescent="0.6">
      <c r="A41" s="20"/>
      <c r="B41" s="34" t="s">
        <v>23</v>
      </c>
      <c r="C41" s="29">
        <f>COUNTIF($B$8:$B$38, "ไม่เข้าปฎิบัติงาน")</f>
        <v>0</v>
      </c>
      <c r="D41" s="34" t="s">
        <v>25</v>
      </c>
      <c r="E41" s="29">
        <f>COUNTIF($B$8:$B$38, "อื่นๆ โปรดระบุรายละเอียด ")</f>
        <v>0</v>
      </c>
      <c r="F41" s="6"/>
      <c r="G41" s="6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ht="18" customHeight="1" x14ac:dyDescent="0.6">
      <c r="A45" s="72" t="str">
        <f>B5</f>
        <v xml:space="preserve">บุรพล อัศววิรุฬห์ฤทธิ์ </v>
      </c>
      <c r="B45" s="72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s="26" customFormat="1" ht="18" customHeight="1" x14ac:dyDescent="0.6">
      <c r="A46" s="73" t="str">
        <f>January!$A$44</f>
        <v>Programmer</v>
      </c>
      <c r="B46" s="73"/>
      <c r="D46" s="60" t="s">
        <v>75</v>
      </c>
      <c r="E46" s="60"/>
      <c r="F46" s="3"/>
      <c r="G46" s="74" t="s">
        <v>8</v>
      </c>
    </row>
    <row r="47" spans="1:7" ht="18" customHeight="1" x14ac:dyDescent="0.6">
      <c r="A47" s="23"/>
      <c r="B47" s="25"/>
      <c r="C47" s="25"/>
      <c r="D47" s="75" t="s">
        <v>79</v>
      </c>
      <c r="E47" s="75"/>
      <c r="F47" s="25"/>
      <c r="G47" s="24"/>
    </row>
    <row r="48" spans="1:7" ht="23.4" customHeight="1" x14ac:dyDescent="0.6">
      <c r="A48" s="24"/>
      <c r="B48" s="24"/>
      <c r="C48" s="24"/>
      <c r="D48" s="24"/>
      <c r="E48" s="24"/>
      <c r="F48" s="24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  <row r="54" spans="1:7" x14ac:dyDescent="0.6">
      <c r="A54" s="24"/>
      <c r="B54" s="24"/>
      <c r="C54" s="24"/>
      <c r="D54" s="24"/>
      <c r="E54" s="24"/>
      <c r="F54" s="24"/>
      <c r="G54" s="24"/>
    </row>
  </sheetData>
  <mergeCells count="32">
    <mergeCell ref="E38:G38"/>
    <mergeCell ref="E33:G33"/>
    <mergeCell ref="E34:G34"/>
    <mergeCell ref="E35:G35"/>
    <mergeCell ref="E7:G7"/>
    <mergeCell ref="E20:G20"/>
    <mergeCell ref="E21:G21"/>
    <mergeCell ref="E18:G18"/>
    <mergeCell ref="E31:G31"/>
    <mergeCell ref="E32:G32"/>
    <mergeCell ref="E24:G24"/>
    <mergeCell ref="E25:G25"/>
    <mergeCell ref="E26:G26"/>
    <mergeCell ref="E27:G27"/>
    <mergeCell ref="E28:G28"/>
    <mergeCell ref="A1:G1"/>
    <mergeCell ref="A2:G2"/>
    <mergeCell ref="A4:F4"/>
    <mergeCell ref="E5:G5"/>
    <mergeCell ref="E17:G17"/>
    <mergeCell ref="E10:G10"/>
    <mergeCell ref="E11:G11"/>
    <mergeCell ref="E12:G12"/>
    <mergeCell ref="E13:G13"/>
    <mergeCell ref="E14:G14"/>
    <mergeCell ref="D47:E47"/>
    <mergeCell ref="A46:B46"/>
    <mergeCell ref="A45:B45"/>
    <mergeCell ref="D45:E45"/>
    <mergeCell ref="A44:C44"/>
    <mergeCell ref="D46:E46"/>
    <mergeCell ref="D44:E44"/>
  </mergeCells>
  <dataValidations count="1">
    <dataValidation type="list" allowBlank="1" showInputMessage="1" showErrorMessage="1" sqref="B8:B38" xr:uid="{83C74234-C585-4522-A2AD-E38E4F1DA4CF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6F72-8EA4-4F40-B1D8-7975D50F08E2}">
  <sheetPr>
    <pageSetUpPr fitToPage="1"/>
  </sheetPr>
  <dimension ref="A1:G53"/>
  <sheetViews>
    <sheetView topLeftCell="A19" zoomScale="70" zoomScaleNormal="70" workbookViewId="0">
      <selection activeCell="A34" sqref="A34:G34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64" t="str">
        <f>January!A1</f>
        <v>รายงานการปฏิบัติงาน</v>
      </c>
      <c r="B1" s="64"/>
      <c r="C1" s="64"/>
      <c r="D1" s="64"/>
      <c r="E1" s="64"/>
      <c r="F1" s="64"/>
      <c r="G1" s="64"/>
    </row>
    <row r="2" spans="1:7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"&amp;DAY(A37)&amp;" "&amp;CHOOSE(MONTH(A37)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"&amp;YEAR(A37)+543</f>
        <v>1 กันยายน 2569 ถึง 30 กันยายน 2569</v>
      </c>
      <c r="E3" s="76"/>
      <c r="F3" s="76"/>
      <c r="G3" s="77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16">
        <v>46266</v>
      </c>
      <c r="B8" s="12"/>
      <c r="C8" s="13"/>
      <c r="D8" s="14"/>
      <c r="E8" s="47"/>
      <c r="F8" s="48"/>
      <c r="G8" s="49"/>
    </row>
    <row r="9" spans="1:7" ht="42" customHeight="1" x14ac:dyDescent="0.6">
      <c r="A9" s="16">
        <f>A8+1</f>
        <v>46267</v>
      </c>
      <c r="B9" s="12"/>
      <c r="C9" s="13"/>
      <c r="D9" s="14"/>
      <c r="E9" s="47"/>
      <c r="F9" s="48"/>
      <c r="G9" s="49"/>
    </row>
    <row r="10" spans="1:7" ht="23.25" customHeight="1" x14ac:dyDescent="0.6">
      <c r="A10" s="16">
        <f t="shared" ref="A10:A22" si="0">A9+1</f>
        <v>46268</v>
      </c>
      <c r="B10" s="12"/>
      <c r="C10" s="13"/>
      <c r="D10" s="14"/>
      <c r="E10" s="47"/>
      <c r="F10" s="48"/>
      <c r="G10" s="49"/>
    </row>
    <row r="11" spans="1:7" ht="42" customHeight="1" x14ac:dyDescent="0.6">
      <c r="A11" s="16">
        <f t="shared" si="0"/>
        <v>46269</v>
      </c>
      <c r="B11" s="12"/>
      <c r="C11" s="13"/>
      <c r="D11" s="27"/>
      <c r="E11" s="47"/>
      <c r="F11" s="48"/>
      <c r="G11" s="49"/>
    </row>
    <row r="12" spans="1:7" ht="23.25" customHeight="1" x14ac:dyDescent="0.6">
      <c r="A12" s="33">
        <f t="shared" si="0"/>
        <v>46270</v>
      </c>
      <c r="B12" s="46" t="s">
        <v>9</v>
      </c>
      <c r="C12" s="41"/>
      <c r="D12" s="42"/>
      <c r="E12" s="43"/>
      <c r="F12" s="44"/>
      <c r="G12" s="45"/>
    </row>
    <row r="13" spans="1:7" ht="23.25" customHeight="1" x14ac:dyDescent="0.6">
      <c r="A13" s="33">
        <f t="shared" si="0"/>
        <v>46271</v>
      </c>
      <c r="B13" s="46" t="s">
        <v>10</v>
      </c>
      <c r="C13" s="41"/>
      <c r="D13" s="42"/>
      <c r="E13" s="43"/>
      <c r="F13" s="44"/>
      <c r="G13" s="45"/>
    </row>
    <row r="14" spans="1:7" ht="23.25" customHeight="1" x14ac:dyDescent="0.6">
      <c r="A14" s="16">
        <f t="shared" si="0"/>
        <v>46272</v>
      </c>
      <c r="B14" s="12"/>
      <c r="C14" s="13"/>
      <c r="D14" s="27"/>
      <c r="E14" s="47"/>
      <c r="F14" s="48"/>
      <c r="G14" s="49"/>
    </row>
    <row r="15" spans="1:7" ht="42" customHeight="1" x14ac:dyDescent="0.6">
      <c r="A15" s="16">
        <f t="shared" si="0"/>
        <v>46273</v>
      </c>
      <c r="B15" s="12"/>
      <c r="C15" s="13"/>
      <c r="D15" s="14"/>
      <c r="E15" s="47"/>
      <c r="F15" s="48"/>
      <c r="G15" s="49"/>
    </row>
    <row r="16" spans="1:7" ht="42" customHeight="1" x14ac:dyDescent="0.6">
      <c r="A16" s="16">
        <f t="shared" si="0"/>
        <v>46274</v>
      </c>
      <c r="B16" s="12"/>
      <c r="C16" s="13"/>
      <c r="D16" s="14"/>
      <c r="E16" s="47"/>
      <c r="F16" s="48"/>
      <c r="G16" s="49"/>
    </row>
    <row r="17" spans="1:7" ht="42" customHeight="1" x14ac:dyDescent="0.6">
      <c r="A17" s="16">
        <f t="shared" si="0"/>
        <v>46275</v>
      </c>
      <c r="B17" s="12"/>
      <c r="C17" s="13"/>
      <c r="D17" s="14"/>
      <c r="E17" s="47"/>
      <c r="F17" s="48"/>
      <c r="G17" s="49"/>
    </row>
    <row r="18" spans="1:7" ht="42" customHeight="1" x14ac:dyDescent="0.6">
      <c r="A18" s="16">
        <f t="shared" si="0"/>
        <v>46276</v>
      </c>
      <c r="B18" s="12"/>
      <c r="C18" s="13"/>
      <c r="D18" s="14"/>
      <c r="E18" s="47"/>
      <c r="F18" s="48"/>
      <c r="G18" s="49"/>
    </row>
    <row r="19" spans="1:7" ht="23.25" customHeight="1" x14ac:dyDescent="0.6">
      <c r="A19" s="33">
        <f t="shared" si="0"/>
        <v>46277</v>
      </c>
      <c r="B19" s="46" t="s">
        <v>9</v>
      </c>
      <c r="C19" s="41"/>
      <c r="D19" s="42"/>
      <c r="E19" s="43"/>
      <c r="F19" s="44"/>
      <c r="G19" s="45"/>
    </row>
    <row r="20" spans="1:7" ht="23.25" customHeight="1" x14ac:dyDescent="0.6">
      <c r="A20" s="33">
        <f t="shared" si="0"/>
        <v>46278</v>
      </c>
      <c r="B20" s="46" t="s">
        <v>10</v>
      </c>
      <c r="C20" s="41"/>
      <c r="D20" s="42"/>
      <c r="E20" s="43"/>
      <c r="F20" s="44"/>
      <c r="G20" s="45"/>
    </row>
    <row r="21" spans="1:7" ht="23.25" customHeight="1" x14ac:dyDescent="0.6">
      <c r="A21" s="16">
        <f t="shared" si="0"/>
        <v>46279</v>
      </c>
      <c r="B21" s="12"/>
      <c r="C21" s="13"/>
      <c r="D21" s="27"/>
      <c r="E21" s="47"/>
      <c r="F21" s="48"/>
      <c r="G21" s="49"/>
    </row>
    <row r="22" spans="1:7" ht="42" customHeight="1" x14ac:dyDescent="0.6">
      <c r="A22" s="16">
        <f t="shared" si="0"/>
        <v>46280</v>
      </c>
      <c r="B22" s="12"/>
      <c r="C22" s="13"/>
      <c r="D22" s="14"/>
      <c r="E22" s="47"/>
      <c r="F22" s="48"/>
      <c r="G22" s="49"/>
    </row>
    <row r="23" spans="1:7" ht="42" customHeight="1" x14ac:dyDescent="0.6">
      <c r="A23" s="16">
        <f>A22+1</f>
        <v>46281</v>
      </c>
      <c r="B23" s="12"/>
      <c r="C23" s="13"/>
      <c r="D23" s="27"/>
      <c r="E23" s="47"/>
      <c r="F23" s="48"/>
      <c r="G23" s="49"/>
    </row>
    <row r="24" spans="1:7" ht="42" customHeight="1" x14ac:dyDescent="0.6">
      <c r="A24" s="16">
        <f t="shared" ref="A24:A37" si="1">A23+1</f>
        <v>46282</v>
      </c>
      <c r="B24" s="12"/>
      <c r="C24" s="13"/>
      <c r="D24" s="14"/>
      <c r="E24" s="47"/>
      <c r="F24" s="48"/>
      <c r="G24" s="49"/>
    </row>
    <row r="25" spans="1:7" ht="42" customHeight="1" x14ac:dyDescent="0.6">
      <c r="A25" s="16">
        <f t="shared" si="1"/>
        <v>46283</v>
      </c>
      <c r="B25" s="12"/>
      <c r="C25" s="13"/>
      <c r="D25" s="14"/>
      <c r="E25" s="47"/>
      <c r="F25" s="48"/>
      <c r="G25" s="49"/>
    </row>
    <row r="26" spans="1:7" ht="23.25" customHeight="1" x14ac:dyDescent="0.6">
      <c r="A26" s="33">
        <f t="shared" si="1"/>
        <v>46284</v>
      </c>
      <c r="B26" s="46" t="s">
        <v>9</v>
      </c>
      <c r="C26" s="41"/>
      <c r="D26" s="42"/>
      <c r="E26" s="43"/>
      <c r="F26" s="44"/>
      <c r="G26" s="45"/>
    </row>
    <row r="27" spans="1:7" ht="23.25" customHeight="1" x14ac:dyDescent="0.6">
      <c r="A27" s="33">
        <f t="shared" si="1"/>
        <v>46285</v>
      </c>
      <c r="B27" s="46" t="s">
        <v>10</v>
      </c>
      <c r="C27" s="41"/>
      <c r="D27" s="42"/>
      <c r="E27" s="43"/>
      <c r="F27" s="44"/>
      <c r="G27" s="45"/>
    </row>
    <row r="28" spans="1:7" ht="23.25" customHeight="1" x14ac:dyDescent="0.6">
      <c r="A28" s="16">
        <f t="shared" si="1"/>
        <v>46286</v>
      </c>
      <c r="B28" s="12"/>
      <c r="C28" s="13"/>
      <c r="D28" s="27"/>
      <c r="E28" s="47"/>
      <c r="F28" s="48"/>
      <c r="G28" s="49"/>
    </row>
    <row r="29" spans="1:7" ht="42" customHeight="1" x14ac:dyDescent="0.6">
      <c r="A29" s="16">
        <f t="shared" si="1"/>
        <v>46287</v>
      </c>
      <c r="B29" s="12"/>
      <c r="C29" s="13"/>
      <c r="D29" s="14"/>
      <c r="E29" s="47"/>
      <c r="F29" s="48"/>
      <c r="G29" s="49"/>
    </row>
    <row r="30" spans="1:7" ht="42" customHeight="1" x14ac:dyDescent="0.6">
      <c r="A30" s="16">
        <f t="shared" si="1"/>
        <v>46288</v>
      </c>
      <c r="B30" s="12"/>
      <c r="C30" s="13"/>
      <c r="D30" s="14"/>
      <c r="E30" s="47"/>
      <c r="F30" s="48"/>
      <c r="G30" s="49"/>
    </row>
    <row r="31" spans="1:7" ht="42" customHeight="1" x14ac:dyDescent="0.6">
      <c r="A31" s="16">
        <f t="shared" si="1"/>
        <v>46289</v>
      </c>
      <c r="B31" s="12"/>
      <c r="C31" s="13"/>
      <c r="D31" s="27"/>
      <c r="E31" s="47"/>
      <c r="F31" s="48"/>
      <c r="G31" s="49"/>
    </row>
    <row r="32" spans="1:7" ht="42" customHeight="1" x14ac:dyDescent="0.6">
      <c r="A32" s="16">
        <f t="shared" si="1"/>
        <v>46290</v>
      </c>
      <c r="B32" s="12"/>
      <c r="C32" s="13"/>
      <c r="D32" s="14"/>
      <c r="E32" s="47"/>
      <c r="F32" s="48"/>
      <c r="G32" s="49"/>
    </row>
    <row r="33" spans="1:7" ht="23.25" customHeight="1" x14ac:dyDescent="0.6">
      <c r="A33" s="33">
        <f t="shared" si="1"/>
        <v>46291</v>
      </c>
      <c r="B33" s="46" t="s">
        <v>9</v>
      </c>
      <c r="C33" s="41"/>
      <c r="D33" s="42"/>
      <c r="E33" s="43"/>
      <c r="F33" s="44"/>
      <c r="G33" s="45"/>
    </row>
    <row r="34" spans="1:7" ht="23.25" customHeight="1" x14ac:dyDescent="0.6">
      <c r="A34" s="33">
        <f t="shared" si="1"/>
        <v>46292</v>
      </c>
      <c r="B34" s="46" t="s">
        <v>10</v>
      </c>
      <c r="C34" s="41"/>
      <c r="D34" s="42"/>
      <c r="E34" s="43"/>
      <c r="F34" s="44"/>
      <c r="G34" s="45"/>
    </row>
    <row r="35" spans="1:7" ht="23.25" customHeight="1" x14ac:dyDescent="0.6">
      <c r="A35" s="16">
        <f t="shared" si="1"/>
        <v>46293</v>
      </c>
      <c r="B35" s="12"/>
      <c r="C35" s="13"/>
      <c r="D35" s="27"/>
      <c r="E35" s="47"/>
      <c r="F35" s="48"/>
      <c r="G35" s="49"/>
    </row>
    <row r="36" spans="1:7" ht="42" customHeight="1" x14ac:dyDescent="0.6">
      <c r="A36" s="16">
        <f t="shared" si="1"/>
        <v>46294</v>
      </c>
      <c r="B36" s="12"/>
      <c r="C36" s="13"/>
      <c r="D36" s="14"/>
      <c r="E36" s="47"/>
      <c r="F36" s="48"/>
      <c r="G36" s="49"/>
    </row>
    <row r="37" spans="1:7" ht="42" customHeight="1" x14ac:dyDescent="0.6">
      <c r="A37" s="17">
        <f t="shared" si="1"/>
        <v>46295</v>
      </c>
      <c r="B37" s="12"/>
      <c r="C37" s="13"/>
      <c r="D37" s="14"/>
      <c r="E37" s="47"/>
      <c r="F37" s="48"/>
      <c r="G37" s="49"/>
    </row>
    <row r="38" spans="1:7" ht="11.55" customHeight="1" x14ac:dyDescent="0.6">
      <c r="A38" s="19"/>
      <c r="B38" s="19"/>
      <c r="C38" s="19"/>
      <c r="D38" s="19"/>
      <c r="E38" s="19"/>
      <c r="F38" s="19"/>
      <c r="G38" s="19"/>
    </row>
    <row r="39" spans="1:7" ht="23.4" customHeight="1" x14ac:dyDescent="0.6">
      <c r="A39" s="20"/>
      <c r="B39" s="32" t="s">
        <v>22</v>
      </c>
      <c r="C39" s="29">
        <f>COUNTIF($B$8:$B$37, "เข้าปฎิบัติงาน")</f>
        <v>0</v>
      </c>
      <c r="D39" s="34" t="s">
        <v>24</v>
      </c>
      <c r="E39" s="29">
        <f>SUM(COUNTIF($B$8:$B$37, {"วันเสาร์","วันอาทิตย์","วันหยุดนักขัตฤกษ์"}))</f>
        <v>8</v>
      </c>
      <c r="F39" s="6"/>
      <c r="G39" s="6"/>
    </row>
    <row r="40" spans="1:7" ht="23.4" customHeight="1" x14ac:dyDescent="0.6">
      <c r="A40" s="20"/>
      <c r="B40" s="34" t="s">
        <v>23</v>
      </c>
      <c r="C40" s="29">
        <f>COUNTIF($B$8:$B$37, "ไม่เข้าปฎิบัติงาน")</f>
        <v>0</v>
      </c>
      <c r="D40" s="34" t="s">
        <v>25</v>
      </c>
      <c r="E40" s="29">
        <f>COUNTIF($B$8:$B$37, "อื่นๆ โปรดระบุรายละเอียด ")</f>
        <v>0</v>
      </c>
      <c r="F40" s="6"/>
      <c r="G40" s="6"/>
    </row>
    <row r="41" spans="1:7" ht="23.4" customHeight="1" x14ac:dyDescent="0.6">
      <c r="A41" s="20"/>
      <c r="B41" s="21"/>
      <c r="C41" s="22"/>
      <c r="D41" s="19"/>
      <c r="E41" s="19"/>
      <c r="F41" s="19"/>
      <c r="G41" s="19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s="26" customFormat="1" ht="18" customHeight="1" x14ac:dyDescent="0.6">
      <c r="A45" s="72" t="str">
        <f>B5</f>
        <v xml:space="preserve">บุรพล อัศววิรุฬห์ฤทธิ์ </v>
      </c>
      <c r="B45" s="72"/>
      <c r="C45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ht="18" customHeight="1" x14ac:dyDescent="0.6">
      <c r="A46" s="73" t="str">
        <f>January!$A$44</f>
        <v>Programmer</v>
      </c>
      <c r="B46" s="73"/>
      <c r="C46" s="26"/>
      <c r="D46" s="60" t="s">
        <v>75</v>
      </c>
      <c r="E46" s="60"/>
      <c r="F46" s="3"/>
      <c r="G46" s="74" t="s">
        <v>8</v>
      </c>
    </row>
    <row r="47" spans="1:7" ht="18" customHeight="1" x14ac:dyDescent="0.6">
      <c r="A47" s="23"/>
      <c r="B47" s="25"/>
      <c r="C47" s="25"/>
      <c r="D47" s="75" t="s">
        <v>80</v>
      </c>
      <c r="E47" s="75"/>
      <c r="F47" s="25"/>
      <c r="G47" s="24"/>
    </row>
    <row r="48" spans="1:7" x14ac:dyDescent="0.6">
      <c r="A48" s="24"/>
      <c r="B48" s="24"/>
      <c r="C48" s="24"/>
      <c r="D48" s="24"/>
      <c r="E48" s="24"/>
      <c r="F48" s="24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</sheetData>
  <mergeCells count="34">
    <mergeCell ref="D47:E47"/>
    <mergeCell ref="E35:G35"/>
    <mergeCell ref="E36:G36"/>
    <mergeCell ref="E37:G37"/>
    <mergeCell ref="E7:G7"/>
    <mergeCell ref="E9:G9"/>
    <mergeCell ref="E21:G21"/>
    <mergeCell ref="E22:G22"/>
    <mergeCell ref="E10:G10"/>
    <mergeCell ref="E11:G11"/>
    <mergeCell ref="E14:G14"/>
    <mergeCell ref="E15:G15"/>
    <mergeCell ref="E16:G16"/>
    <mergeCell ref="E17:G17"/>
    <mergeCell ref="E18:G18"/>
    <mergeCell ref="E23:G23"/>
    <mergeCell ref="A1:G1"/>
    <mergeCell ref="A2:G2"/>
    <mergeCell ref="A4:F4"/>
    <mergeCell ref="E5:G5"/>
    <mergeCell ref="E8:G8"/>
    <mergeCell ref="E24:G24"/>
    <mergeCell ref="E25:G25"/>
    <mergeCell ref="E28:G28"/>
    <mergeCell ref="A46:B46"/>
    <mergeCell ref="D46:E46"/>
    <mergeCell ref="E29:G29"/>
    <mergeCell ref="E30:G30"/>
    <mergeCell ref="E31:G31"/>
    <mergeCell ref="E32:G32"/>
    <mergeCell ref="A45:B45"/>
    <mergeCell ref="A44:C44"/>
    <mergeCell ref="D45:E45"/>
    <mergeCell ref="D44:E44"/>
  </mergeCells>
  <dataValidations count="1">
    <dataValidation type="list" allowBlank="1" showInputMessage="1" showErrorMessage="1" sqref="B8:B37" xr:uid="{80CB82DC-9453-4D83-8AD0-5FFEA696200A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14EF-34FA-4AE8-903C-3FF4C0B9A935}">
  <sheetPr>
    <pageSetUpPr fitToPage="1"/>
  </sheetPr>
  <dimension ref="A1:G55"/>
  <sheetViews>
    <sheetView topLeftCell="A23" zoomScale="70" zoomScaleNormal="70" workbookViewId="0">
      <selection activeCell="A38" sqref="A38:G38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50" t="str">
        <f>January!A1</f>
        <v>รายงานการปฏิบัติงาน</v>
      </c>
      <c r="B1" s="50"/>
      <c r="C1" s="50"/>
      <c r="D1" s="50"/>
      <c r="E1" s="50"/>
      <c r="F1" s="50"/>
      <c r="G1" s="50"/>
    </row>
    <row r="2" spans="1:7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ตุลาคม 2569 ถึง 31 ตุลาคม 2569</v>
      </c>
      <c r="E3" s="76"/>
      <c r="F3" s="76"/>
      <c r="G3" s="77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28">
        <v>46296</v>
      </c>
      <c r="B8" s="12"/>
      <c r="C8" s="13"/>
      <c r="D8" s="14"/>
      <c r="E8" s="47"/>
      <c r="F8" s="48"/>
      <c r="G8" s="49"/>
    </row>
    <row r="9" spans="1:7" ht="42" customHeight="1" x14ac:dyDescent="0.6">
      <c r="A9" s="16">
        <f>A8+1</f>
        <v>46297</v>
      </c>
      <c r="B9" s="12"/>
      <c r="C9" s="13"/>
      <c r="D9" s="14"/>
      <c r="E9" s="47"/>
      <c r="F9" s="48"/>
      <c r="G9" s="49"/>
    </row>
    <row r="10" spans="1:7" ht="23.25" customHeight="1" x14ac:dyDescent="0.6">
      <c r="A10" s="33">
        <f t="shared" ref="A10:A22" si="0">A9+1</f>
        <v>46298</v>
      </c>
      <c r="B10" s="46" t="s">
        <v>9</v>
      </c>
      <c r="C10" s="41"/>
      <c r="D10" s="42"/>
      <c r="E10" s="43"/>
      <c r="F10" s="44"/>
      <c r="G10" s="45"/>
    </row>
    <row r="11" spans="1:7" ht="23.25" customHeight="1" x14ac:dyDescent="0.6">
      <c r="A11" s="33">
        <f t="shared" si="0"/>
        <v>46299</v>
      </c>
      <c r="B11" s="46" t="s">
        <v>10</v>
      </c>
      <c r="C11" s="41"/>
      <c r="D11" s="42"/>
      <c r="E11" s="43"/>
      <c r="F11" s="44"/>
      <c r="G11" s="45"/>
    </row>
    <row r="12" spans="1:7" ht="42" customHeight="1" x14ac:dyDescent="0.6">
      <c r="A12" s="16">
        <f t="shared" si="0"/>
        <v>46300</v>
      </c>
      <c r="B12" s="12"/>
      <c r="C12" s="13"/>
      <c r="D12" s="14"/>
      <c r="E12" s="47"/>
      <c r="F12" s="48"/>
      <c r="G12" s="49"/>
    </row>
    <row r="13" spans="1:7" ht="23.25" customHeight="1" x14ac:dyDescent="0.6">
      <c r="A13" s="16">
        <f t="shared" si="0"/>
        <v>46301</v>
      </c>
      <c r="B13" s="12"/>
      <c r="C13" s="13"/>
      <c r="D13" s="14"/>
      <c r="E13" s="47"/>
      <c r="F13" s="48"/>
      <c r="G13" s="49"/>
    </row>
    <row r="14" spans="1:7" ht="23.25" customHeight="1" x14ac:dyDescent="0.6">
      <c r="A14" s="16">
        <f t="shared" si="0"/>
        <v>46302</v>
      </c>
      <c r="B14" s="12"/>
      <c r="C14" s="13"/>
      <c r="D14" s="14"/>
      <c r="E14" s="47"/>
      <c r="F14" s="48"/>
      <c r="G14" s="49"/>
    </row>
    <row r="15" spans="1:7" ht="42" customHeight="1" x14ac:dyDescent="0.6">
      <c r="A15" s="16">
        <f t="shared" si="0"/>
        <v>46303</v>
      </c>
      <c r="B15" s="12"/>
      <c r="C15" s="13"/>
      <c r="D15" s="27"/>
      <c r="E15" s="47"/>
      <c r="F15" s="48"/>
      <c r="G15" s="49"/>
    </row>
    <row r="16" spans="1:7" ht="42" customHeight="1" x14ac:dyDescent="0.6">
      <c r="A16" s="16">
        <f t="shared" si="0"/>
        <v>46304</v>
      </c>
      <c r="B16" s="12"/>
      <c r="C16" s="13"/>
      <c r="D16" s="14"/>
      <c r="E16" s="47"/>
      <c r="F16" s="48"/>
      <c r="G16" s="49"/>
    </row>
    <row r="17" spans="1:7" ht="23.25" customHeight="1" x14ac:dyDescent="0.6">
      <c r="A17" s="33">
        <f t="shared" si="0"/>
        <v>46305</v>
      </c>
      <c r="B17" s="46" t="s">
        <v>9</v>
      </c>
      <c r="C17" s="41"/>
      <c r="D17" s="42"/>
      <c r="E17" s="43"/>
      <c r="F17" s="44"/>
      <c r="G17" s="45"/>
    </row>
    <row r="18" spans="1:7" ht="23.25" customHeight="1" x14ac:dyDescent="0.6">
      <c r="A18" s="33">
        <f t="shared" si="0"/>
        <v>46306</v>
      </c>
      <c r="B18" s="46" t="s">
        <v>10</v>
      </c>
      <c r="C18" s="41"/>
      <c r="D18" s="42"/>
      <c r="E18" s="43"/>
      <c r="F18" s="44"/>
      <c r="G18" s="45"/>
    </row>
    <row r="19" spans="1:7" ht="42" customHeight="1" x14ac:dyDescent="0.6">
      <c r="A19" s="16">
        <f t="shared" si="0"/>
        <v>46307</v>
      </c>
      <c r="B19" s="12"/>
      <c r="C19" s="13"/>
      <c r="D19" s="27"/>
      <c r="E19" s="47"/>
      <c r="F19" s="48"/>
      <c r="G19" s="49"/>
    </row>
    <row r="20" spans="1:7" ht="23.25" customHeight="1" x14ac:dyDescent="0.6">
      <c r="A20" s="33">
        <f t="shared" si="0"/>
        <v>46308</v>
      </c>
      <c r="B20" s="46" t="s">
        <v>18</v>
      </c>
      <c r="C20" s="41"/>
      <c r="D20" s="42"/>
      <c r="E20" s="43"/>
      <c r="F20" s="44"/>
      <c r="G20" s="45"/>
    </row>
    <row r="21" spans="1:7" ht="23.25" customHeight="1" x14ac:dyDescent="0.6">
      <c r="A21" s="16">
        <f t="shared" si="0"/>
        <v>46309</v>
      </c>
      <c r="B21" s="12"/>
      <c r="C21" s="13"/>
      <c r="D21" s="14"/>
      <c r="E21" s="47"/>
      <c r="F21" s="48"/>
      <c r="G21" s="49"/>
    </row>
    <row r="22" spans="1:7" ht="42" customHeight="1" x14ac:dyDescent="0.6">
      <c r="A22" s="16">
        <f t="shared" si="0"/>
        <v>46310</v>
      </c>
      <c r="B22" s="12"/>
      <c r="C22" s="13"/>
      <c r="D22" s="14"/>
      <c r="E22" s="47"/>
      <c r="F22" s="48"/>
      <c r="G22" s="49"/>
    </row>
    <row r="23" spans="1:7" ht="42" customHeight="1" x14ac:dyDescent="0.6">
      <c r="A23" s="16">
        <f>A22+1</f>
        <v>46311</v>
      </c>
      <c r="B23" s="12"/>
      <c r="C23" s="13"/>
      <c r="D23" s="27"/>
      <c r="E23" s="47"/>
      <c r="F23" s="48"/>
      <c r="G23" s="49"/>
    </row>
    <row r="24" spans="1:7" ht="23.25" customHeight="1" x14ac:dyDescent="0.6">
      <c r="A24" s="33">
        <f t="shared" ref="A24:A38" si="1">A23+1</f>
        <v>46312</v>
      </c>
      <c r="B24" s="46" t="s">
        <v>9</v>
      </c>
      <c r="C24" s="41"/>
      <c r="D24" s="42"/>
      <c r="E24" s="43"/>
      <c r="F24" s="44"/>
      <c r="G24" s="45"/>
    </row>
    <row r="25" spans="1:7" ht="23.25" customHeight="1" x14ac:dyDescent="0.6">
      <c r="A25" s="33">
        <f t="shared" si="1"/>
        <v>46313</v>
      </c>
      <c r="B25" s="46" t="s">
        <v>10</v>
      </c>
      <c r="C25" s="41"/>
      <c r="D25" s="42"/>
      <c r="E25" s="43"/>
      <c r="F25" s="44"/>
      <c r="G25" s="45"/>
    </row>
    <row r="26" spans="1:7" ht="42" customHeight="1" x14ac:dyDescent="0.6">
      <c r="A26" s="16">
        <f t="shared" si="1"/>
        <v>46314</v>
      </c>
      <c r="B26" s="12"/>
      <c r="C26" s="13"/>
      <c r="D26" s="27"/>
      <c r="E26" s="47"/>
      <c r="F26" s="48"/>
      <c r="G26" s="49"/>
    </row>
    <row r="27" spans="1:7" ht="23.25" customHeight="1" x14ac:dyDescent="0.6">
      <c r="A27" s="16">
        <f t="shared" si="1"/>
        <v>46315</v>
      </c>
      <c r="B27" s="12"/>
      <c r="C27" s="13"/>
      <c r="D27" s="14"/>
      <c r="E27" s="47"/>
      <c r="F27" s="48"/>
      <c r="G27" s="49"/>
    </row>
    <row r="28" spans="1:7" ht="23.25" customHeight="1" x14ac:dyDescent="0.6">
      <c r="A28" s="16">
        <f t="shared" si="1"/>
        <v>46316</v>
      </c>
      <c r="B28" s="12"/>
      <c r="C28" s="13"/>
      <c r="D28" s="14"/>
      <c r="E28" s="47"/>
      <c r="F28" s="48"/>
      <c r="G28" s="49"/>
    </row>
    <row r="29" spans="1:7" ht="42" customHeight="1" x14ac:dyDescent="0.6">
      <c r="A29" s="16">
        <f t="shared" si="1"/>
        <v>46317</v>
      </c>
      <c r="B29" s="12"/>
      <c r="C29" s="13"/>
      <c r="D29" s="14"/>
      <c r="E29" s="47"/>
      <c r="F29" s="48"/>
      <c r="G29" s="49"/>
    </row>
    <row r="30" spans="1:7" ht="23.25" customHeight="1" x14ac:dyDescent="0.6">
      <c r="A30" s="33">
        <f t="shared" si="1"/>
        <v>46318</v>
      </c>
      <c r="B30" s="46" t="s">
        <v>18</v>
      </c>
      <c r="C30" s="41"/>
      <c r="D30" s="42"/>
      <c r="E30" s="43"/>
      <c r="F30" s="44"/>
      <c r="G30" s="45"/>
    </row>
    <row r="31" spans="1:7" ht="23.25" customHeight="1" x14ac:dyDescent="0.6">
      <c r="A31" s="33">
        <f t="shared" si="1"/>
        <v>46319</v>
      </c>
      <c r="B31" s="46" t="s">
        <v>9</v>
      </c>
      <c r="C31" s="41"/>
      <c r="D31" s="42"/>
      <c r="E31" s="43"/>
      <c r="F31" s="44"/>
      <c r="G31" s="45"/>
    </row>
    <row r="32" spans="1:7" ht="23.25" customHeight="1" x14ac:dyDescent="0.6">
      <c r="A32" s="33">
        <f t="shared" si="1"/>
        <v>46320</v>
      </c>
      <c r="B32" s="46" t="s">
        <v>10</v>
      </c>
      <c r="C32" s="41"/>
      <c r="D32" s="42"/>
      <c r="E32" s="43"/>
      <c r="F32" s="44"/>
      <c r="G32" s="45"/>
    </row>
    <row r="33" spans="1:7" ht="42" customHeight="1" x14ac:dyDescent="0.6">
      <c r="A33" s="16">
        <f t="shared" si="1"/>
        <v>46321</v>
      </c>
      <c r="B33" s="12"/>
      <c r="C33" s="13"/>
      <c r="D33" s="27"/>
      <c r="E33" s="47"/>
      <c r="F33" s="48"/>
      <c r="G33" s="49"/>
    </row>
    <row r="34" spans="1:7" ht="23.25" customHeight="1" x14ac:dyDescent="0.6">
      <c r="A34" s="16">
        <f t="shared" si="1"/>
        <v>46322</v>
      </c>
      <c r="B34" s="12"/>
      <c r="C34" s="13"/>
      <c r="D34" s="14"/>
      <c r="E34" s="47"/>
      <c r="F34" s="48"/>
      <c r="G34" s="49"/>
    </row>
    <row r="35" spans="1:7" ht="23.25" customHeight="1" x14ac:dyDescent="0.6">
      <c r="A35" s="16">
        <f t="shared" si="1"/>
        <v>46323</v>
      </c>
      <c r="B35" s="12"/>
      <c r="C35" s="13"/>
      <c r="D35" s="27"/>
      <c r="E35" s="47"/>
      <c r="F35" s="48"/>
      <c r="G35" s="49"/>
    </row>
    <row r="36" spans="1:7" ht="42" customHeight="1" x14ac:dyDescent="0.6">
      <c r="A36" s="16">
        <f t="shared" si="1"/>
        <v>46324</v>
      </c>
      <c r="B36" s="12"/>
      <c r="C36" s="13"/>
      <c r="D36" s="14"/>
      <c r="E36" s="47"/>
      <c r="F36" s="48"/>
      <c r="G36" s="49"/>
    </row>
    <row r="37" spans="1:7" ht="42" customHeight="1" x14ac:dyDescent="0.6">
      <c r="A37" s="16">
        <f t="shared" si="1"/>
        <v>46325</v>
      </c>
      <c r="B37" s="12"/>
      <c r="C37" s="13"/>
      <c r="D37" s="14"/>
      <c r="E37" s="47"/>
      <c r="F37" s="48"/>
      <c r="G37" s="49"/>
    </row>
    <row r="38" spans="1:7" ht="23.25" customHeight="1" x14ac:dyDescent="0.6">
      <c r="A38" s="33">
        <f t="shared" si="1"/>
        <v>46326</v>
      </c>
      <c r="B38" s="46" t="s">
        <v>9</v>
      </c>
      <c r="C38" s="41"/>
      <c r="D38" s="42"/>
      <c r="E38" s="43"/>
      <c r="F38" s="44"/>
      <c r="G38" s="45"/>
    </row>
    <row r="39" spans="1:7" ht="23.4" customHeight="1" x14ac:dyDescent="0.6">
      <c r="A39" s="19"/>
      <c r="B39" s="19"/>
      <c r="C39" s="19"/>
      <c r="D39" s="19"/>
      <c r="E39" s="19"/>
      <c r="F39" s="19"/>
      <c r="G39" s="19"/>
    </row>
    <row r="40" spans="1:7" ht="23.4" customHeight="1" x14ac:dyDescent="0.6">
      <c r="A40" s="20"/>
      <c r="B40" s="32" t="s">
        <v>22</v>
      </c>
      <c r="C40" s="29">
        <f>COUNTIF($B$8:$B$38, "เข้าปฎิบัติงาน")</f>
        <v>0</v>
      </c>
      <c r="D40" s="34" t="s">
        <v>24</v>
      </c>
      <c r="E40" s="29">
        <f>SUM(COUNTIF($B$8:$B$38, {"วันเสาร์","วันอาทิตย์","วันหยุดนักขัตฤกษ์"}))</f>
        <v>11</v>
      </c>
      <c r="F40" s="6"/>
      <c r="G40" s="6"/>
    </row>
    <row r="41" spans="1:7" ht="23.4" customHeight="1" x14ac:dyDescent="0.6">
      <c r="A41" s="20"/>
      <c r="B41" s="34" t="s">
        <v>23</v>
      </c>
      <c r="C41" s="29">
        <f>COUNTIF($B$8:$B$38, "ไม่เข้าปฎิบัติงาน")</f>
        <v>0</v>
      </c>
      <c r="D41" s="34" t="s">
        <v>25</v>
      </c>
      <c r="E41" s="29">
        <f>COUNTIF($B$8:$B$38, "อื่นๆ โปรดระบุรายละเอียด ")</f>
        <v>0</v>
      </c>
      <c r="F41" s="6"/>
      <c r="G41" s="6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ht="18" customHeight="1" x14ac:dyDescent="0.6">
      <c r="A45" s="72" t="str">
        <f>B5</f>
        <v xml:space="preserve">บุรพล อัศววิรุฬห์ฤทธิ์ </v>
      </c>
      <c r="B45" s="72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ht="18" customHeight="1" x14ac:dyDescent="0.6">
      <c r="A46" s="73" t="str">
        <f>January!$A$44</f>
        <v>Programmer</v>
      </c>
      <c r="B46" s="73"/>
      <c r="C46" s="26"/>
      <c r="D46" s="60" t="s">
        <v>75</v>
      </c>
      <c r="E46" s="60"/>
      <c r="F46" s="3"/>
      <c r="G46" s="74" t="s">
        <v>8</v>
      </c>
    </row>
    <row r="47" spans="1:7" s="26" customFormat="1" ht="18" customHeight="1" x14ac:dyDescent="0.6">
      <c r="A47" s="23"/>
      <c r="B47" s="25"/>
      <c r="C47" s="25"/>
      <c r="D47" s="75" t="s">
        <v>81</v>
      </c>
      <c r="E47" s="75"/>
      <c r="F47" s="25"/>
      <c r="G47" s="24"/>
    </row>
    <row r="48" spans="1:7" ht="23.4" customHeight="1" x14ac:dyDescent="0.6">
      <c r="A48" s="23"/>
      <c r="B48" s="56"/>
      <c r="C48" s="56"/>
      <c r="D48" s="24"/>
      <c r="E48" s="24"/>
      <c r="F48" s="25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  <row r="54" spans="1:7" x14ac:dyDescent="0.6">
      <c r="A54" s="24"/>
      <c r="B54" s="24"/>
      <c r="C54" s="24"/>
      <c r="D54" s="24"/>
      <c r="E54" s="24"/>
      <c r="F54" s="24"/>
      <c r="G54" s="24"/>
    </row>
    <row r="55" spans="1:7" x14ac:dyDescent="0.6">
      <c r="A55" s="24"/>
      <c r="B55" s="24"/>
      <c r="C55" s="24"/>
      <c r="D55" s="24"/>
      <c r="E55" s="24"/>
      <c r="F55" s="24"/>
      <c r="G55" s="24"/>
    </row>
  </sheetData>
  <mergeCells count="33">
    <mergeCell ref="E19:G19"/>
    <mergeCell ref="A44:C44"/>
    <mergeCell ref="D47:E47"/>
    <mergeCell ref="E33:G33"/>
    <mergeCell ref="E34:G34"/>
    <mergeCell ref="E35:G35"/>
    <mergeCell ref="E36:G36"/>
    <mergeCell ref="E37:G37"/>
    <mergeCell ref="E29:G29"/>
    <mergeCell ref="E21:G21"/>
    <mergeCell ref="E22:G22"/>
    <mergeCell ref="E23:G23"/>
    <mergeCell ref="E26:G26"/>
    <mergeCell ref="E27:G27"/>
    <mergeCell ref="E28:G28"/>
    <mergeCell ref="D44:E44"/>
    <mergeCell ref="E12:G12"/>
    <mergeCell ref="E13:G13"/>
    <mergeCell ref="E14:G14"/>
    <mergeCell ref="E15:G15"/>
    <mergeCell ref="E16:G16"/>
    <mergeCell ref="B48:C48"/>
    <mergeCell ref="A45:B45"/>
    <mergeCell ref="D45:E45"/>
    <mergeCell ref="A46:B46"/>
    <mergeCell ref="D46:E46"/>
    <mergeCell ref="E8:G8"/>
    <mergeCell ref="E9:G9"/>
    <mergeCell ref="A1:G1"/>
    <mergeCell ref="A2:G2"/>
    <mergeCell ref="A4:F4"/>
    <mergeCell ref="E5:G5"/>
    <mergeCell ref="E7:G7"/>
  </mergeCells>
  <dataValidations count="1">
    <dataValidation type="list" allowBlank="1" showInputMessage="1" showErrorMessage="1" sqref="B8:B38" xr:uid="{0370F45E-DD39-4033-823E-C93AA0E4384F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A66-C1A3-48A7-864B-076EE2106A0B}">
  <sheetPr>
    <pageSetUpPr fitToPage="1"/>
  </sheetPr>
  <dimension ref="A1:G54"/>
  <sheetViews>
    <sheetView topLeftCell="A21" zoomScale="70" zoomScaleNormal="70" zoomScaleSheetLayoutView="50" workbookViewId="0">
      <selection activeCell="A36" sqref="A36:G36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50" t="str">
        <f>January!A1</f>
        <v>รายงานการปฏิบัติงาน</v>
      </c>
      <c r="B1" s="50"/>
      <c r="C1" s="50"/>
      <c r="D1" s="50"/>
      <c r="E1" s="50"/>
      <c r="F1" s="50"/>
      <c r="G1" s="50"/>
    </row>
    <row r="2" spans="1:7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"&amp;DAY(A37)&amp;" "&amp;CHOOSE(MONTH(A37)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"&amp;YEAR(A37)+543</f>
        <v>1 พฤศจิกายน 2569 ถึง 30 พฤศจิกายน 2569</v>
      </c>
      <c r="E3" s="76"/>
      <c r="F3" s="76"/>
      <c r="G3" s="77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33">
        <v>46327</v>
      </c>
      <c r="B8" s="46" t="s">
        <v>10</v>
      </c>
      <c r="C8" s="41"/>
      <c r="D8" s="42"/>
      <c r="E8" s="43"/>
      <c r="F8" s="44"/>
      <c r="G8" s="45"/>
    </row>
    <row r="9" spans="1:7" ht="42" customHeight="1" x14ac:dyDescent="0.6">
      <c r="A9" s="16">
        <f>A8+1</f>
        <v>46328</v>
      </c>
      <c r="B9" s="12"/>
      <c r="C9" s="13"/>
      <c r="D9" s="27"/>
      <c r="E9" s="47"/>
      <c r="F9" s="48"/>
      <c r="G9" s="49"/>
    </row>
    <row r="10" spans="1:7" ht="23.25" customHeight="1" x14ac:dyDescent="0.6">
      <c r="A10" s="16">
        <f t="shared" ref="A10:A22" si="0">A9+1</f>
        <v>46329</v>
      </c>
      <c r="B10" s="12"/>
      <c r="C10" s="13"/>
      <c r="D10" s="14"/>
      <c r="E10" s="47"/>
      <c r="F10" s="48"/>
      <c r="G10" s="49"/>
    </row>
    <row r="11" spans="1:7" ht="42" customHeight="1" x14ac:dyDescent="0.6">
      <c r="A11" s="16">
        <f t="shared" si="0"/>
        <v>46330</v>
      </c>
      <c r="B11" s="12"/>
      <c r="C11" s="13"/>
      <c r="D11" s="27"/>
      <c r="E11" s="47"/>
      <c r="F11" s="48"/>
      <c r="G11" s="49"/>
    </row>
    <row r="12" spans="1:7" ht="42" customHeight="1" x14ac:dyDescent="0.6">
      <c r="A12" s="16">
        <f t="shared" si="0"/>
        <v>46331</v>
      </c>
      <c r="B12" s="12"/>
      <c r="C12" s="13"/>
      <c r="D12" s="14"/>
      <c r="E12" s="47"/>
      <c r="F12" s="48"/>
      <c r="G12" s="49"/>
    </row>
    <row r="13" spans="1:7" ht="23.25" customHeight="1" x14ac:dyDescent="0.6">
      <c r="A13" s="16">
        <f t="shared" si="0"/>
        <v>46332</v>
      </c>
      <c r="B13" s="12"/>
      <c r="C13" s="13"/>
      <c r="D13" s="14"/>
      <c r="E13" s="47"/>
      <c r="F13" s="48"/>
      <c r="G13" s="49"/>
    </row>
    <row r="14" spans="1:7" ht="23.25" customHeight="1" x14ac:dyDescent="0.6">
      <c r="A14" s="33">
        <f t="shared" si="0"/>
        <v>46333</v>
      </c>
      <c r="B14" s="46" t="s">
        <v>9</v>
      </c>
      <c r="C14" s="41"/>
      <c r="D14" s="42"/>
      <c r="E14" s="43"/>
      <c r="F14" s="44"/>
      <c r="G14" s="45"/>
    </row>
    <row r="15" spans="1:7" ht="23.25" customHeight="1" x14ac:dyDescent="0.6">
      <c r="A15" s="33">
        <f t="shared" si="0"/>
        <v>46334</v>
      </c>
      <c r="B15" s="46" t="s">
        <v>10</v>
      </c>
      <c r="C15" s="41"/>
      <c r="D15" s="42"/>
      <c r="E15" s="43"/>
      <c r="F15" s="44"/>
      <c r="G15" s="45"/>
    </row>
    <row r="16" spans="1:7" ht="42" customHeight="1" x14ac:dyDescent="0.6">
      <c r="A16" s="16">
        <f t="shared" si="0"/>
        <v>46335</v>
      </c>
      <c r="B16" s="12"/>
      <c r="C16" s="13"/>
      <c r="D16" s="27"/>
      <c r="E16" s="47"/>
      <c r="F16" s="48"/>
      <c r="G16" s="49"/>
    </row>
    <row r="17" spans="1:7" ht="42" customHeight="1" x14ac:dyDescent="0.6">
      <c r="A17" s="16">
        <f t="shared" si="0"/>
        <v>46336</v>
      </c>
      <c r="B17" s="12"/>
      <c r="C17" s="13"/>
      <c r="D17" s="14"/>
      <c r="E17" s="47"/>
      <c r="F17" s="48"/>
      <c r="G17" s="49"/>
    </row>
    <row r="18" spans="1:7" ht="42" customHeight="1" x14ac:dyDescent="0.6">
      <c r="A18" s="16">
        <f t="shared" si="0"/>
        <v>46337</v>
      </c>
      <c r="B18" s="12"/>
      <c r="C18" s="13"/>
      <c r="D18" s="14"/>
      <c r="E18" s="47"/>
      <c r="F18" s="48"/>
      <c r="G18" s="49"/>
    </row>
    <row r="19" spans="1:7" ht="42" customHeight="1" x14ac:dyDescent="0.6">
      <c r="A19" s="16">
        <f t="shared" si="0"/>
        <v>46338</v>
      </c>
      <c r="B19" s="12"/>
      <c r="C19" s="13"/>
      <c r="D19" s="27"/>
      <c r="E19" s="47"/>
      <c r="F19" s="48"/>
      <c r="G19" s="49"/>
    </row>
    <row r="20" spans="1:7" ht="23.25" customHeight="1" x14ac:dyDescent="0.6">
      <c r="A20" s="16">
        <f t="shared" si="0"/>
        <v>46339</v>
      </c>
      <c r="B20" s="12"/>
      <c r="C20" s="13"/>
      <c r="D20" s="14"/>
      <c r="E20" s="47"/>
      <c r="F20" s="48"/>
      <c r="G20" s="49"/>
    </row>
    <row r="21" spans="1:7" ht="23.25" customHeight="1" x14ac:dyDescent="0.6">
      <c r="A21" s="33">
        <f t="shared" si="0"/>
        <v>46340</v>
      </c>
      <c r="B21" s="46" t="s">
        <v>9</v>
      </c>
      <c r="C21" s="41"/>
      <c r="D21" s="42"/>
      <c r="E21" s="43"/>
      <c r="F21" s="44"/>
      <c r="G21" s="45"/>
    </row>
    <row r="22" spans="1:7" ht="23.25" customHeight="1" x14ac:dyDescent="0.6">
      <c r="A22" s="33">
        <f t="shared" si="0"/>
        <v>46341</v>
      </c>
      <c r="B22" s="46" t="s">
        <v>10</v>
      </c>
      <c r="C22" s="41"/>
      <c r="D22" s="42"/>
      <c r="E22" s="43"/>
      <c r="F22" s="44"/>
      <c r="G22" s="45"/>
    </row>
    <row r="23" spans="1:7" ht="42" customHeight="1" x14ac:dyDescent="0.6">
      <c r="A23" s="16">
        <f>A22+1</f>
        <v>46342</v>
      </c>
      <c r="B23" s="12"/>
      <c r="C23" s="13"/>
      <c r="D23" s="27"/>
      <c r="E23" s="47"/>
      <c r="F23" s="48"/>
      <c r="G23" s="49"/>
    </row>
    <row r="24" spans="1:7" ht="42" customHeight="1" x14ac:dyDescent="0.6">
      <c r="A24" s="16">
        <f t="shared" ref="A24:A37" si="1">A23+1</f>
        <v>46343</v>
      </c>
      <c r="B24" s="12"/>
      <c r="C24" s="13"/>
      <c r="D24" s="14"/>
      <c r="E24" s="47"/>
      <c r="F24" s="48"/>
      <c r="G24" s="49"/>
    </row>
    <row r="25" spans="1:7" ht="42" customHeight="1" x14ac:dyDescent="0.6">
      <c r="A25" s="16">
        <f t="shared" si="1"/>
        <v>46344</v>
      </c>
      <c r="B25" s="12"/>
      <c r="C25" s="13"/>
      <c r="D25" s="14"/>
      <c r="E25" s="47"/>
      <c r="F25" s="48"/>
      <c r="G25" s="49"/>
    </row>
    <row r="26" spans="1:7" ht="42" customHeight="1" x14ac:dyDescent="0.6">
      <c r="A26" s="16">
        <f t="shared" si="1"/>
        <v>46345</v>
      </c>
      <c r="B26" s="12"/>
      <c r="C26" s="13"/>
      <c r="D26" s="14"/>
      <c r="E26" s="47"/>
      <c r="F26" s="48"/>
      <c r="G26" s="49"/>
    </row>
    <row r="27" spans="1:7" ht="23.25" customHeight="1" x14ac:dyDescent="0.6">
      <c r="A27" s="16">
        <f t="shared" si="1"/>
        <v>46346</v>
      </c>
      <c r="B27" s="12"/>
      <c r="C27" s="13"/>
      <c r="D27" s="27"/>
      <c r="E27" s="47"/>
      <c r="F27" s="48"/>
      <c r="G27" s="49"/>
    </row>
    <row r="28" spans="1:7" ht="23.25" customHeight="1" x14ac:dyDescent="0.6">
      <c r="A28" s="33">
        <f t="shared" si="1"/>
        <v>46347</v>
      </c>
      <c r="B28" s="46" t="s">
        <v>9</v>
      </c>
      <c r="C28" s="41"/>
      <c r="D28" s="42"/>
      <c r="E28" s="43"/>
      <c r="F28" s="44"/>
      <c r="G28" s="45"/>
    </row>
    <row r="29" spans="1:7" ht="23.25" customHeight="1" x14ac:dyDescent="0.6">
      <c r="A29" s="33">
        <f t="shared" si="1"/>
        <v>46348</v>
      </c>
      <c r="B29" s="46" t="s">
        <v>10</v>
      </c>
      <c r="C29" s="41"/>
      <c r="D29" s="42"/>
      <c r="E29" s="43"/>
      <c r="F29" s="44"/>
      <c r="G29" s="45"/>
    </row>
    <row r="30" spans="1:7" ht="42" customHeight="1" x14ac:dyDescent="0.6">
      <c r="A30" s="16">
        <f t="shared" si="1"/>
        <v>46349</v>
      </c>
      <c r="B30" s="12"/>
      <c r="C30" s="13"/>
      <c r="D30" s="27"/>
      <c r="E30" s="47"/>
      <c r="F30" s="48"/>
      <c r="G30" s="49"/>
    </row>
    <row r="31" spans="1:7" ht="42" customHeight="1" x14ac:dyDescent="0.6">
      <c r="A31" s="16">
        <f t="shared" si="1"/>
        <v>46350</v>
      </c>
      <c r="B31" s="12"/>
      <c r="C31" s="13"/>
      <c r="D31" s="14"/>
      <c r="E31" s="47"/>
      <c r="F31" s="48"/>
      <c r="G31" s="49"/>
    </row>
    <row r="32" spans="1:7" ht="42" customHeight="1" x14ac:dyDescent="0.6">
      <c r="A32" s="16">
        <f t="shared" si="1"/>
        <v>46351</v>
      </c>
      <c r="B32" s="12"/>
      <c r="C32" s="13"/>
      <c r="D32" s="14"/>
      <c r="E32" s="47"/>
      <c r="F32" s="48"/>
      <c r="G32" s="49"/>
    </row>
    <row r="33" spans="1:7" ht="42" customHeight="1" x14ac:dyDescent="0.6">
      <c r="A33" s="16">
        <f t="shared" si="1"/>
        <v>46352</v>
      </c>
      <c r="B33" s="12"/>
      <c r="C33" s="13"/>
      <c r="D33" s="14"/>
      <c r="E33" s="47"/>
      <c r="F33" s="48"/>
      <c r="G33" s="49"/>
    </row>
    <row r="34" spans="1:7" ht="23.25" customHeight="1" x14ac:dyDescent="0.6">
      <c r="A34" s="16">
        <f t="shared" si="1"/>
        <v>46353</v>
      </c>
      <c r="B34" s="12"/>
      <c r="C34" s="13"/>
      <c r="D34" s="14"/>
      <c r="E34" s="47"/>
      <c r="F34" s="48"/>
      <c r="G34" s="49"/>
    </row>
    <row r="35" spans="1:7" ht="23.25" customHeight="1" x14ac:dyDescent="0.6">
      <c r="A35" s="33">
        <f t="shared" si="1"/>
        <v>46354</v>
      </c>
      <c r="B35" s="46" t="s">
        <v>9</v>
      </c>
      <c r="C35" s="41"/>
      <c r="D35" s="42"/>
      <c r="E35" s="43"/>
      <c r="F35" s="44"/>
      <c r="G35" s="45"/>
    </row>
    <row r="36" spans="1:7" ht="23.25" customHeight="1" x14ac:dyDescent="0.6">
      <c r="A36" s="33">
        <f t="shared" si="1"/>
        <v>46355</v>
      </c>
      <c r="B36" s="46" t="s">
        <v>10</v>
      </c>
      <c r="C36" s="41"/>
      <c r="D36" s="42"/>
      <c r="E36" s="43"/>
      <c r="F36" s="44"/>
      <c r="G36" s="45"/>
    </row>
    <row r="37" spans="1:7" ht="42" customHeight="1" x14ac:dyDescent="0.6">
      <c r="A37" s="17">
        <f t="shared" si="1"/>
        <v>46356</v>
      </c>
      <c r="B37" s="12"/>
      <c r="C37" s="13"/>
      <c r="D37" s="13"/>
      <c r="E37" s="47"/>
      <c r="F37" s="48"/>
      <c r="G37" s="49"/>
    </row>
    <row r="38" spans="1:7" ht="11.55" customHeight="1" x14ac:dyDescent="0.6">
      <c r="A38" s="19"/>
      <c r="B38" s="19"/>
      <c r="C38" s="19"/>
      <c r="D38" s="19"/>
      <c r="E38" s="19"/>
      <c r="F38" s="19"/>
      <c r="G38" s="19"/>
    </row>
    <row r="39" spans="1:7" ht="23.4" customHeight="1" x14ac:dyDescent="0.6">
      <c r="A39" s="20"/>
      <c r="B39" s="32" t="s">
        <v>22</v>
      </c>
      <c r="C39" s="29">
        <f>COUNTIF($B$8:$B$37, "เข้าปฎิบัติงาน")</f>
        <v>0</v>
      </c>
      <c r="D39" s="34" t="s">
        <v>24</v>
      </c>
      <c r="E39" s="29">
        <f>SUM(COUNTIF($B$8:$B$37, {"วันเสาร์","วันอาทิตย์","วันหยุดนักขัตฤกษ์"}))</f>
        <v>9</v>
      </c>
      <c r="F39" s="6"/>
      <c r="G39" s="6"/>
    </row>
    <row r="40" spans="1:7" ht="23.4" customHeight="1" x14ac:dyDescent="0.6">
      <c r="A40" s="20"/>
      <c r="B40" s="34" t="s">
        <v>23</v>
      </c>
      <c r="C40" s="29">
        <f>COUNTIF($B$8:$B$37, "ไม่เข้าปฎิบัติงาน")</f>
        <v>0</v>
      </c>
      <c r="D40" s="34" t="s">
        <v>25</v>
      </c>
      <c r="E40" s="29">
        <f>COUNTIF($B$8:$B$37, "อื่นๆ โปรดระบุรายละเอียด ")</f>
        <v>0</v>
      </c>
      <c r="F40" s="6"/>
      <c r="G40" s="6"/>
    </row>
    <row r="41" spans="1:7" ht="23.4" customHeight="1" x14ac:dyDescent="0.6">
      <c r="A41" s="20"/>
      <c r="B41" s="21"/>
      <c r="C41" s="22"/>
      <c r="D41" s="19"/>
      <c r="E41" s="19"/>
      <c r="F41" s="19"/>
      <c r="G41" s="19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ht="18" customHeight="1" x14ac:dyDescent="0.6">
      <c r="A45" s="72" t="str">
        <f>B5</f>
        <v xml:space="preserve">บุรพล อัศววิรุฬห์ฤทธิ์ </v>
      </c>
      <c r="B45" s="72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s="26" customFormat="1" ht="18" customHeight="1" x14ac:dyDescent="0.6">
      <c r="A46" s="73" t="str">
        <f>January!$A$44</f>
        <v>Programmer</v>
      </c>
      <c r="B46" s="73"/>
      <c r="D46" s="60" t="s">
        <v>75</v>
      </c>
      <c r="E46" s="60"/>
      <c r="F46" s="3"/>
      <c r="G46" s="74" t="s">
        <v>8</v>
      </c>
    </row>
    <row r="47" spans="1:7" ht="18" customHeight="1" x14ac:dyDescent="0.6">
      <c r="A47" s="23"/>
      <c r="B47" s="25"/>
      <c r="C47" s="25"/>
      <c r="D47" s="75" t="s">
        <v>82</v>
      </c>
      <c r="E47" s="75"/>
      <c r="F47" s="25"/>
      <c r="G47" s="24"/>
    </row>
    <row r="48" spans="1:7" x14ac:dyDescent="0.6">
      <c r="A48" s="24"/>
      <c r="B48" s="24"/>
      <c r="C48" s="24"/>
      <c r="D48" s="24"/>
      <c r="E48" s="24"/>
      <c r="F48" s="24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  <row r="54" spans="1:7" x14ac:dyDescent="0.6">
      <c r="A54" s="24"/>
      <c r="B54" s="24"/>
      <c r="C54" s="24"/>
      <c r="D54" s="24"/>
      <c r="E54" s="24"/>
      <c r="F54" s="24"/>
      <c r="G54" s="24"/>
    </row>
  </sheetData>
  <mergeCells count="33">
    <mergeCell ref="D47:E47"/>
    <mergeCell ref="E37:G37"/>
    <mergeCell ref="A46:B46"/>
    <mergeCell ref="E7:G7"/>
    <mergeCell ref="E32:G32"/>
    <mergeCell ref="E33:G33"/>
    <mergeCell ref="E34:G34"/>
    <mergeCell ref="A44:C44"/>
    <mergeCell ref="D46:E46"/>
    <mergeCell ref="E12:G12"/>
    <mergeCell ref="E13:G13"/>
    <mergeCell ref="A45:B45"/>
    <mergeCell ref="D45:E45"/>
    <mergeCell ref="E23:G23"/>
    <mergeCell ref="E20:G20"/>
    <mergeCell ref="E16:G16"/>
    <mergeCell ref="A1:G1"/>
    <mergeCell ref="A2:G2"/>
    <mergeCell ref="A4:F4"/>
    <mergeCell ref="E5:G5"/>
    <mergeCell ref="E17:G17"/>
    <mergeCell ref="D44:E44"/>
    <mergeCell ref="E31:G31"/>
    <mergeCell ref="E10:G10"/>
    <mergeCell ref="E11:G11"/>
    <mergeCell ref="E9:G9"/>
    <mergeCell ref="E18:G18"/>
    <mergeCell ref="E19:G19"/>
    <mergeCell ref="E30:G30"/>
    <mergeCell ref="E24:G24"/>
    <mergeCell ref="E25:G25"/>
    <mergeCell ref="E26:G26"/>
    <mergeCell ref="E27:G27"/>
  </mergeCells>
  <dataValidations count="1">
    <dataValidation type="list" allowBlank="1" showInputMessage="1" showErrorMessage="1" sqref="B8:B37" xr:uid="{CE502D94-C7D0-4625-AA55-EEC4165A3D17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5954-8507-4685-B05C-46D75C6B5EEE}">
  <sheetPr>
    <pageSetUpPr fitToPage="1"/>
  </sheetPr>
  <dimension ref="A1:G55"/>
  <sheetViews>
    <sheetView tabSelected="1" topLeftCell="A19" zoomScale="70" zoomScaleNormal="70" workbookViewId="0">
      <selection activeCell="A38" sqref="A38:G38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33.5546875" customWidth="1"/>
    <col min="7" max="7" width="38.5546875" customWidth="1"/>
    <col min="8" max="8" width="34.44140625" customWidth="1"/>
  </cols>
  <sheetData>
    <row r="1" spans="1:7" ht="28.8" customHeight="1" x14ac:dyDescent="0.6">
      <c r="A1" s="50" t="str">
        <f>January!A1</f>
        <v>รายงานการปฏิบัติงาน</v>
      </c>
      <c r="B1" s="50"/>
      <c r="C1" s="50"/>
      <c r="D1" s="50"/>
      <c r="E1" s="50"/>
      <c r="F1" s="50"/>
      <c r="G1" s="50"/>
    </row>
    <row r="2" spans="1:7" ht="23.4" customHeight="1" x14ac:dyDescent="0.6">
      <c r="A2" s="51" t="str">
        <f>January!A2</f>
        <v>บริษัท ไอที ดี จำกัด</v>
      </c>
      <c r="B2" s="51"/>
      <c r="C2" s="51"/>
      <c r="D2" s="51"/>
      <c r="E2" s="51"/>
      <c r="F2" s="51"/>
      <c r="G2" s="51"/>
    </row>
    <row r="3" spans="1:7" ht="23.4" customHeight="1" x14ac:dyDescent="0.6">
      <c r="A3" s="3"/>
      <c r="B3" s="3"/>
      <c r="C3" s="4" t="s">
        <v>6</v>
      </c>
      <c r="D3" s="40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ธันวาคม 2569 ถึง 31 ธันวาคม 2569</v>
      </c>
      <c r="E3" s="76"/>
      <c r="F3" s="76"/>
      <c r="G3" s="77"/>
    </row>
    <row r="4" spans="1:7" ht="23.4" customHeight="1" x14ac:dyDescent="0.6">
      <c r="A4" s="51"/>
      <c r="B4" s="51"/>
      <c r="C4" s="51"/>
      <c r="D4" s="51"/>
      <c r="E4" s="51"/>
      <c r="F4" s="51"/>
      <c r="G4" s="6"/>
    </row>
    <row r="5" spans="1:7" ht="25.5" customHeight="1" x14ac:dyDescent="0.6">
      <c r="A5" s="3" t="s">
        <v>5</v>
      </c>
      <c r="B5" s="6" t="str">
        <f>January!B5</f>
        <v xml:space="preserve">บุรพล อัศววิรุฬห์ฤทธิ์ </v>
      </c>
      <c r="C5" s="7"/>
      <c r="D5" s="5" t="s">
        <v>7</v>
      </c>
      <c r="E5" s="52" t="str">
        <f>January!E5</f>
        <v>Fast Track</v>
      </c>
      <c r="F5" s="52"/>
      <c r="G5" s="52"/>
    </row>
    <row r="6" spans="1:7" ht="21" customHeight="1" x14ac:dyDescent="0.6">
      <c r="A6" s="8"/>
      <c r="B6" s="9"/>
      <c r="C6" s="10"/>
      <c r="D6" s="11"/>
      <c r="E6" s="11"/>
      <c r="F6" s="11"/>
      <c r="G6" s="11"/>
    </row>
    <row r="7" spans="1:7" ht="38.25" customHeight="1" x14ac:dyDescent="0.6">
      <c r="A7" s="30" t="s">
        <v>4</v>
      </c>
      <c r="B7" s="31" t="s">
        <v>20</v>
      </c>
      <c r="C7" s="31" t="s">
        <v>19</v>
      </c>
      <c r="D7" s="31" t="s">
        <v>21</v>
      </c>
      <c r="E7" s="53" t="s">
        <v>3</v>
      </c>
      <c r="F7" s="54"/>
      <c r="G7" s="55"/>
    </row>
    <row r="8" spans="1:7" ht="23.25" customHeight="1" x14ac:dyDescent="0.6">
      <c r="A8" s="16">
        <v>46357</v>
      </c>
      <c r="B8" s="12"/>
      <c r="C8" s="13"/>
      <c r="D8" s="14"/>
      <c r="E8" s="47"/>
      <c r="F8" s="48"/>
      <c r="G8" s="49"/>
    </row>
    <row r="9" spans="1:7" ht="42" customHeight="1" x14ac:dyDescent="0.6">
      <c r="A9" s="16">
        <f>A8+1</f>
        <v>46358</v>
      </c>
      <c r="B9" s="12"/>
      <c r="C9" s="13"/>
      <c r="D9" s="14"/>
      <c r="E9" s="47"/>
      <c r="F9" s="48"/>
      <c r="G9" s="49"/>
    </row>
    <row r="10" spans="1:7" ht="23.25" customHeight="1" x14ac:dyDescent="0.6">
      <c r="A10" s="16">
        <f t="shared" ref="A10:A22" si="0">A9+1</f>
        <v>46359</v>
      </c>
      <c r="B10" s="12"/>
      <c r="C10" s="13"/>
      <c r="D10" s="14"/>
      <c r="E10" s="47"/>
      <c r="F10" s="48"/>
      <c r="G10" s="49"/>
    </row>
    <row r="11" spans="1:7" ht="42" customHeight="1" x14ac:dyDescent="0.6">
      <c r="A11" s="16">
        <f t="shared" si="0"/>
        <v>46360</v>
      </c>
      <c r="B11" s="12"/>
      <c r="C11" s="13"/>
      <c r="D11" s="27"/>
      <c r="E11" s="47"/>
      <c r="F11" s="48"/>
      <c r="G11" s="49"/>
    </row>
    <row r="12" spans="1:7" ht="23.25" customHeight="1" x14ac:dyDescent="0.6">
      <c r="A12" s="33">
        <f t="shared" si="0"/>
        <v>46361</v>
      </c>
      <c r="B12" s="46" t="s">
        <v>9</v>
      </c>
      <c r="C12" s="41"/>
      <c r="D12" s="42"/>
      <c r="E12" s="43"/>
      <c r="F12" s="44"/>
      <c r="G12" s="45"/>
    </row>
    <row r="13" spans="1:7" ht="23.25" customHeight="1" x14ac:dyDescent="0.6">
      <c r="A13" s="33">
        <f t="shared" si="0"/>
        <v>46362</v>
      </c>
      <c r="B13" s="46" t="s">
        <v>10</v>
      </c>
      <c r="C13" s="41"/>
      <c r="D13" s="42"/>
      <c r="E13" s="43"/>
      <c r="F13" s="44"/>
      <c r="G13" s="45"/>
    </row>
    <row r="14" spans="1:7" ht="23.25" customHeight="1" x14ac:dyDescent="0.6">
      <c r="A14" s="33">
        <f t="shared" si="0"/>
        <v>46363</v>
      </c>
      <c r="B14" s="46" t="s">
        <v>18</v>
      </c>
      <c r="C14" s="41"/>
      <c r="D14" s="42"/>
      <c r="E14" s="43"/>
      <c r="F14" s="44"/>
      <c r="G14" s="45"/>
    </row>
    <row r="15" spans="1:7" ht="42" customHeight="1" x14ac:dyDescent="0.6">
      <c r="A15" s="16">
        <f t="shared" si="0"/>
        <v>46364</v>
      </c>
      <c r="B15" s="12"/>
      <c r="C15" s="13"/>
      <c r="D15" s="14"/>
      <c r="E15" s="47"/>
      <c r="F15" s="48"/>
      <c r="G15" s="49"/>
    </row>
    <row r="16" spans="1:7" ht="42" customHeight="1" x14ac:dyDescent="0.6">
      <c r="A16" s="16">
        <f t="shared" si="0"/>
        <v>46365</v>
      </c>
      <c r="B16" s="12"/>
      <c r="C16" s="13"/>
      <c r="D16" s="14"/>
      <c r="E16" s="47"/>
      <c r="F16" s="48"/>
      <c r="G16" s="49"/>
    </row>
    <row r="17" spans="1:7" ht="23.25" customHeight="1" x14ac:dyDescent="0.6">
      <c r="A17" s="33">
        <f t="shared" si="0"/>
        <v>46366</v>
      </c>
      <c r="B17" s="46" t="s">
        <v>18</v>
      </c>
      <c r="C17" s="41"/>
      <c r="D17" s="42"/>
      <c r="E17" s="43"/>
      <c r="F17" s="44"/>
      <c r="G17" s="45"/>
    </row>
    <row r="18" spans="1:7" ht="42" customHeight="1" x14ac:dyDescent="0.6">
      <c r="A18" s="16">
        <f t="shared" si="0"/>
        <v>46367</v>
      </c>
      <c r="B18" s="12"/>
      <c r="C18" s="13"/>
      <c r="D18" s="14"/>
      <c r="E18" s="47"/>
      <c r="F18" s="48"/>
      <c r="G18" s="49"/>
    </row>
    <row r="19" spans="1:7" ht="23.25" customHeight="1" x14ac:dyDescent="0.6">
      <c r="A19" s="33">
        <f t="shared" si="0"/>
        <v>46368</v>
      </c>
      <c r="B19" s="46" t="s">
        <v>9</v>
      </c>
      <c r="C19" s="41"/>
      <c r="D19" s="42"/>
      <c r="E19" s="43"/>
      <c r="F19" s="44"/>
      <c r="G19" s="45"/>
    </row>
    <row r="20" spans="1:7" ht="23.25" customHeight="1" x14ac:dyDescent="0.6">
      <c r="A20" s="33">
        <f t="shared" si="0"/>
        <v>46369</v>
      </c>
      <c r="B20" s="46" t="s">
        <v>10</v>
      </c>
      <c r="C20" s="41"/>
      <c r="D20" s="42"/>
      <c r="E20" s="43"/>
      <c r="F20" s="44"/>
      <c r="G20" s="45"/>
    </row>
    <row r="21" spans="1:7" ht="23.25" customHeight="1" x14ac:dyDescent="0.6">
      <c r="A21" s="16">
        <f t="shared" si="0"/>
        <v>46370</v>
      </c>
      <c r="B21" s="12"/>
      <c r="C21" s="13"/>
      <c r="D21" s="27"/>
      <c r="E21" s="47"/>
      <c r="F21" s="48"/>
      <c r="G21" s="49"/>
    </row>
    <row r="22" spans="1:7" ht="42" customHeight="1" x14ac:dyDescent="0.6">
      <c r="A22" s="16">
        <f t="shared" si="0"/>
        <v>46371</v>
      </c>
      <c r="B22" s="12"/>
      <c r="C22" s="13"/>
      <c r="D22" s="14"/>
      <c r="E22" s="47"/>
      <c r="F22" s="48"/>
      <c r="G22" s="49"/>
    </row>
    <row r="23" spans="1:7" ht="42" customHeight="1" x14ac:dyDescent="0.6">
      <c r="A23" s="16">
        <f>A22+1</f>
        <v>46372</v>
      </c>
      <c r="B23" s="12"/>
      <c r="C23" s="13"/>
      <c r="D23" s="27"/>
      <c r="E23" s="47"/>
      <c r="F23" s="48"/>
      <c r="G23" s="49"/>
    </row>
    <row r="24" spans="1:7" ht="42" customHeight="1" x14ac:dyDescent="0.6">
      <c r="A24" s="16">
        <f t="shared" ref="A24:A38" si="1">A23+1</f>
        <v>46373</v>
      </c>
      <c r="B24" s="12"/>
      <c r="C24" s="13"/>
      <c r="D24" s="14"/>
      <c r="E24" s="47"/>
      <c r="F24" s="48"/>
      <c r="G24" s="49"/>
    </row>
    <row r="25" spans="1:7" ht="42" customHeight="1" x14ac:dyDescent="0.6">
      <c r="A25" s="16">
        <f t="shared" si="1"/>
        <v>46374</v>
      </c>
      <c r="B25" s="12"/>
      <c r="C25" s="13"/>
      <c r="D25" s="14"/>
      <c r="E25" s="47"/>
      <c r="F25" s="48"/>
      <c r="G25" s="49"/>
    </row>
    <row r="26" spans="1:7" ht="23.25" customHeight="1" x14ac:dyDescent="0.6">
      <c r="A26" s="33">
        <f t="shared" si="1"/>
        <v>46375</v>
      </c>
      <c r="B26" s="46" t="s">
        <v>9</v>
      </c>
      <c r="C26" s="41"/>
      <c r="D26" s="42"/>
      <c r="E26" s="43"/>
      <c r="F26" s="44"/>
      <c r="G26" s="45"/>
    </row>
    <row r="27" spans="1:7" ht="23.25" customHeight="1" x14ac:dyDescent="0.6">
      <c r="A27" s="33">
        <f t="shared" si="1"/>
        <v>46376</v>
      </c>
      <c r="B27" s="46" t="s">
        <v>10</v>
      </c>
      <c r="C27" s="41"/>
      <c r="D27" s="42"/>
      <c r="E27" s="43"/>
      <c r="F27" s="44"/>
      <c r="G27" s="45"/>
    </row>
    <row r="28" spans="1:7" ht="23.25" customHeight="1" x14ac:dyDescent="0.6">
      <c r="A28" s="16">
        <f t="shared" si="1"/>
        <v>46377</v>
      </c>
      <c r="B28" s="12"/>
      <c r="C28" s="13"/>
      <c r="D28" s="27"/>
      <c r="E28" s="47"/>
      <c r="F28" s="48"/>
      <c r="G28" s="49"/>
    </row>
    <row r="29" spans="1:7" ht="42" customHeight="1" x14ac:dyDescent="0.6">
      <c r="A29" s="17">
        <f t="shared" si="1"/>
        <v>46378</v>
      </c>
      <c r="B29" s="12"/>
      <c r="C29" s="13"/>
      <c r="D29" s="14"/>
      <c r="E29" s="47"/>
      <c r="F29" s="48"/>
      <c r="G29" s="49"/>
    </row>
    <row r="30" spans="1:7" ht="42" customHeight="1" x14ac:dyDescent="0.6">
      <c r="A30" s="16">
        <f t="shared" si="1"/>
        <v>46379</v>
      </c>
      <c r="B30" s="12"/>
      <c r="C30" s="13"/>
      <c r="D30" s="14"/>
      <c r="E30" s="47"/>
      <c r="F30" s="48"/>
      <c r="G30" s="49"/>
    </row>
    <row r="31" spans="1:7" ht="42" customHeight="1" x14ac:dyDescent="0.6">
      <c r="A31" s="16">
        <f t="shared" si="1"/>
        <v>46380</v>
      </c>
      <c r="B31" s="12"/>
      <c r="C31" s="13"/>
      <c r="D31" s="27"/>
      <c r="E31" s="47"/>
      <c r="F31" s="48"/>
      <c r="G31" s="49"/>
    </row>
    <row r="32" spans="1:7" ht="42" customHeight="1" x14ac:dyDescent="0.6">
      <c r="A32" s="16">
        <f t="shared" si="1"/>
        <v>46381</v>
      </c>
      <c r="B32" s="12"/>
      <c r="C32" s="13"/>
      <c r="D32" s="14"/>
      <c r="E32" s="47"/>
      <c r="F32" s="48"/>
      <c r="G32" s="49"/>
    </row>
    <row r="33" spans="1:7" ht="23.25" customHeight="1" x14ac:dyDescent="0.6">
      <c r="A33" s="33">
        <f t="shared" si="1"/>
        <v>46382</v>
      </c>
      <c r="B33" s="46" t="s">
        <v>9</v>
      </c>
      <c r="C33" s="41"/>
      <c r="D33" s="42"/>
      <c r="E33" s="43"/>
      <c r="F33" s="44"/>
      <c r="G33" s="45"/>
    </row>
    <row r="34" spans="1:7" ht="23.25" customHeight="1" x14ac:dyDescent="0.6">
      <c r="A34" s="33">
        <f t="shared" si="1"/>
        <v>46383</v>
      </c>
      <c r="B34" s="46" t="s">
        <v>10</v>
      </c>
      <c r="C34" s="41"/>
      <c r="D34" s="42"/>
      <c r="E34" s="43"/>
      <c r="F34" s="44"/>
      <c r="G34" s="45"/>
    </row>
    <row r="35" spans="1:7" ht="23.25" customHeight="1" x14ac:dyDescent="0.6">
      <c r="A35" s="16">
        <f t="shared" si="1"/>
        <v>46384</v>
      </c>
      <c r="B35" s="12"/>
      <c r="C35" s="13"/>
      <c r="D35" s="27"/>
      <c r="E35" s="47"/>
      <c r="F35" s="48"/>
      <c r="G35" s="49"/>
    </row>
    <row r="36" spans="1:7" ht="42" customHeight="1" x14ac:dyDescent="0.6">
      <c r="A36" s="16">
        <f t="shared" si="1"/>
        <v>46385</v>
      </c>
      <c r="B36" s="12"/>
      <c r="C36" s="13"/>
      <c r="D36" s="14"/>
      <c r="E36" s="47"/>
      <c r="F36" s="48"/>
      <c r="G36" s="49"/>
    </row>
    <row r="37" spans="1:7" ht="42" customHeight="1" x14ac:dyDescent="0.6">
      <c r="A37" s="16">
        <f t="shared" si="1"/>
        <v>46386</v>
      </c>
      <c r="B37" s="12"/>
      <c r="C37" s="13"/>
      <c r="D37" s="14"/>
      <c r="E37" s="47"/>
      <c r="F37" s="48"/>
      <c r="G37" s="49"/>
    </row>
    <row r="38" spans="1:7" ht="23.25" customHeight="1" x14ac:dyDescent="0.6">
      <c r="A38" s="33">
        <f t="shared" si="1"/>
        <v>46387</v>
      </c>
      <c r="B38" s="46" t="s">
        <v>18</v>
      </c>
      <c r="C38" s="41"/>
      <c r="D38" s="42"/>
      <c r="E38" s="43"/>
      <c r="F38" s="44"/>
      <c r="G38" s="45"/>
    </row>
    <row r="39" spans="1:7" ht="23.4" customHeight="1" x14ac:dyDescent="0.6">
      <c r="A39" s="19"/>
      <c r="B39" s="19"/>
      <c r="C39" s="19"/>
      <c r="D39" s="19"/>
      <c r="E39" s="19"/>
      <c r="F39" s="19"/>
      <c r="G39" s="19"/>
    </row>
    <row r="40" spans="1:7" ht="23.4" customHeight="1" x14ac:dyDescent="0.6">
      <c r="A40" s="20"/>
      <c r="B40" s="32" t="s">
        <v>22</v>
      </c>
      <c r="C40" s="29">
        <f>COUNTIF($B$8:$B$38, "เข้าปฎิบัติงาน")</f>
        <v>0</v>
      </c>
      <c r="D40" s="34" t="s">
        <v>24</v>
      </c>
      <c r="E40" s="29">
        <f>SUM(COUNTIF($B$8:$B$38, {"วันเสาร์","วันอาทิตย์","วันหยุดนักขัตฤกษ์"}))</f>
        <v>11</v>
      </c>
      <c r="F40" s="6"/>
      <c r="G40" s="6"/>
    </row>
    <row r="41" spans="1:7" ht="23.4" customHeight="1" x14ac:dyDescent="0.6">
      <c r="A41" s="20"/>
      <c r="B41" s="34" t="s">
        <v>23</v>
      </c>
      <c r="C41" s="29">
        <f>COUNTIF($B$8:$B$38, "ไม่เข้าปฎิบัติงาน")</f>
        <v>0</v>
      </c>
      <c r="D41" s="34" t="s">
        <v>25</v>
      </c>
      <c r="E41" s="29">
        <f>COUNTIF($B$8:$B$38, "อื่นๆ โปรดระบุรายละเอียด ")</f>
        <v>0</v>
      </c>
      <c r="F41" s="6"/>
      <c r="G41" s="6"/>
    </row>
    <row r="42" spans="1:7" ht="23.4" customHeight="1" x14ac:dyDescent="0.6">
      <c r="A42" s="20"/>
      <c r="B42" s="21"/>
      <c r="C42" s="22"/>
      <c r="D42" s="19"/>
      <c r="E42" s="19"/>
      <c r="F42" s="6"/>
      <c r="G42" s="6"/>
    </row>
    <row r="43" spans="1:7" ht="23.4" customHeight="1" x14ac:dyDescent="0.6">
      <c r="A43" s="67"/>
      <c r="B43" s="21"/>
      <c r="C43" s="22"/>
      <c r="D43" s="68" t="s">
        <v>72</v>
      </c>
      <c r="E43" s="19"/>
      <c r="F43" s="6"/>
      <c r="G43" s="69" t="s">
        <v>73</v>
      </c>
    </row>
    <row r="44" spans="1:7" ht="37.950000000000003" customHeight="1" x14ac:dyDescent="0.6">
      <c r="A44" s="70" t="s">
        <v>74</v>
      </c>
      <c r="B44" s="70"/>
      <c r="C44" s="70"/>
      <c r="D44" s="70" t="s">
        <v>74</v>
      </c>
      <c r="E44" s="70"/>
      <c r="F44" s="35"/>
      <c r="G44" s="71" t="s">
        <v>74</v>
      </c>
    </row>
    <row r="45" spans="1:7" ht="18" customHeight="1" x14ac:dyDescent="0.6">
      <c r="A45" s="72" t="str">
        <f>B5</f>
        <v xml:space="preserve">บุรพล อัศววิรุฬห์ฤทธิ์ </v>
      </c>
      <c r="B45" s="72"/>
      <c r="D45" s="70" t="str">
        <f>January!$F43</f>
        <v>คุณสายฝน นามกูล</v>
      </c>
      <c r="E45" s="70"/>
      <c r="F45" s="35"/>
      <c r="G45" s="69" t="str">
        <f>January!$H43</f>
        <v>คุณอัจฉรา ชัยภูมิ</v>
      </c>
    </row>
    <row r="46" spans="1:7" ht="18" customHeight="1" x14ac:dyDescent="0.6">
      <c r="A46" s="73" t="str">
        <f>January!$A$44</f>
        <v>Programmer</v>
      </c>
      <c r="B46" s="73"/>
      <c r="C46" s="26"/>
      <c r="D46" s="60" t="s">
        <v>75</v>
      </c>
      <c r="E46" s="60"/>
      <c r="F46" s="3"/>
      <c r="G46" s="74" t="s">
        <v>8</v>
      </c>
    </row>
    <row r="47" spans="1:7" s="26" customFormat="1" ht="18" customHeight="1" x14ac:dyDescent="0.6">
      <c r="A47" s="23"/>
      <c r="B47" s="25"/>
      <c r="C47" s="25"/>
      <c r="D47" s="75" t="s">
        <v>83</v>
      </c>
      <c r="E47" s="75"/>
      <c r="F47" s="25"/>
      <c r="G47" s="24"/>
    </row>
    <row r="48" spans="1:7" ht="23.4" customHeight="1" x14ac:dyDescent="0.6">
      <c r="A48" s="23"/>
      <c r="B48" s="56"/>
      <c r="C48" s="56"/>
      <c r="D48" s="24"/>
      <c r="E48" s="24"/>
      <c r="F48" s="25"/>
      <c r="G48" s="24"/>
    </row>
    <row r="49" spans="1:7" x14ac:dyDescent="0.6">
      <c r="A49" s="24"/>
      <c r="B49" s="24"/>
      <c r="C49" s="24"/>
      <c r="D49" s="24"/>
      <c r="E49" s="24"/>
      <c r="F49" s="24"/>
      <c r="G49" s="24"/>
    </row>
    <row r="50" spans="1:7" x14ac:dyDescent="0.6">
      <c r="A50" s="24"/>
      <c r="B50" s="24"/>
      <c r="C50" s="24"/>
      <c r="D50" s="24"/>
      <c r="E50" s="24"/>
      <c r="F50" s="24"/>
      <c r="G50" s="24"/>
    </row>
    <row r="51" spans="1:7" x14ac:dyDescent="0.6">
      <c r="A51" s="24"/>
      <c r="B51" s="24"/>
      <c r="C51" s="24"/>
      <c r="D51" s="24"/>
      <c r="E51" s="24"/>
      <c r="F51" s="24"/>
      <c r="G51" s="24"/>
    </row>
    <row r="52" spans="1:7" x14ac:dyDescent="0.6">
      <c r="A52" s="24"/>
      <c r="B52" s="24"/>
      <c r="C52" s="24"/>
      <c r="D52" s="24"/>
      <c r="E52" s="24"/>
      <c r="F52" s="24"/>
      <c r="G52" s="24"/>
    </row>
    <row r="53" spans="1:7" x14ac:dyDescent="0.6">
      <c r="A53" s="24"/>
      <c r="B53" s="24"/>
      <c r="C53" s="24"/>
      <c r="D53" s="24"/>
      <c r="E53" s="24"/>
      <c r="F53" s="24"/>
      <c r="G53" s="24"/>
    </row>
    <row r="54" spans="1:7" x14ac:dyDescent="0.6">
      <c r="A54" s="24"/>
      <c r="B54" s="24"/>
      <c r="C54" s="24"/>
      <c r="D54" s="24"/>
      <c r="E54" s="24"/>
      <c r="F54" s="24"/>
      <c r="G54" s="24"/>
    </row>
    <row r="55" spans="1:7" x14ac:dyDescent="0.6">
      <c r="A55" s="24"/>
      <c r="B55" s="24"/>
      <c r="C55" s="24"/>
      <c r="D55" s="24"/>
      <c r="E55" s="24"/>
      <c r="F55" s="24"/>
      <c r="G55" s="24"/>
    </row>
  </sheetData>
  <mergeCells count="33">
    <mergeCell ref="A44:C44"/>
    <mergeCell ref="D47:E47"/>
    <mergeCell ref="E35:G35"/>
    <mergeCell ref="E36:G36"/>
    <mergeCell ref="E37:G37"/>
    <mergeCell ref="D44:E44"/>
    <mergeCell ref="E10:G10"/>
    <mergeCell ref="E11:G11"/>
    <mergeCell ref="E15:G15"/>
    <mergeCell ref="E16:G16"/>
    <mergeCell ref="E18:G18"/>
    <mergeCell ref="B48:C48"/>
    <mergeCell ref="A45:B45"/>
    <mergeCell ref="D45:E45"/>
    <mergeCell ref="A46:B46"/>
    <mergeCell ref="D46:E46"/>
    <mergeCell ref="E29:G29"/>
    <mergeCell ref="E30:G30"/>
    <mergeCell ref="E31:G31"/>
    <mergeCell ref="E32:G32"/>
    <mergeCell ref="E21:G21"/>
    <mergeCell ref="E22:G22"/>
    <mergeCell ref="E23:G23"/>
    <mergeCell ref="E24:G24"/>
    <mergeCell ref="E25:G25"/>
    <mergeCell ref="E28:G28"/>
    <mergeCell ref="E8:G8"/>
    <mergeCell ref="E9:G9"/>
    <mergeCell ref="A1:G1"/>
    <mergeCell ref="A2:G2"/>
    <mergeCell ref="A4:F4"/>
    <mergeCell ref="E5:G5"/>
    <mergeCell ref="E7:G7"/>
  </mergeCells>
  <dataValidations count="1">
    <dataValidation type="list" allowBlank="1" showInputMessage="1" showErrorMessage="1" sqref="B8:B38" xr:uid="{266C3BD5-A414-437D-8A74-48A5E9321021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publich holiday</vt:lpstr>
      <vt:lpstr>How to print</vt:lpstr>
      <vt:lpstr>January</vt:lpstr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January!Print_Area</vt:lpstr>
      <vt:lpstr>July!Print_Area</vt:lpstr>
      <vt:lpstr>June!Print_Area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SDMaster</dc:creator>
  <cp:lastModifiedBy>Burapol Ussawawirulrit</cp:lastModifiedBy>
  <cp:lastPrinted>2026-06-23T06:34:49Z</cp:lastPrinted>
  <dcterms:created xsi:type="dcterms:W3CDTF">2019-06-28T06:26:07Z</dcterms:created>
  <dcterms:modified xsi:type="dcterms:W3CDTF">2026-07-30T11:02:17Z</dcterms:modified>
</cp:coreProperties>
</file>